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1536e05fa25658/Desktop/"/>
    </mc:Choice>
  </mc:AlternateContent>
  <xr:revisionPtr revIDLastSave="0" documentId="8_{20DBB45C-0B13-46F4-8936-B2931DD22D56}" xr6:coauthVersionLast="36" xr6:coauthVersionMax="36" xr10:uidLastSave="{00000000-0000-0000-0000-000000000000}"/>
  <bookViews>
    <workbookView xWindow="0" yWindow="0" windowWidth="19200" windowHeight="8130" xr2:uid="{9EB1ADCC-145B-423D-872A-E5B76D30D2F9}"/>
  </bookViews>
  <sheets>
    <sheet name="Dataset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048576" i="2" l="1"/>
  <c r="J1048576" i="2"/>
  <c r="M501" i="2"/>
  <c r="M500" i="2"/>
  <c r="M499" i="2"/>
  <c r="M498" i="2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</calcChain>
</file>

<file path=xl/sharedStrings.xml><?xml version="1.0" encoding="utf-8"?>
<sst xmlns="http://schemas.openxmlformats.org/spreadsheetml/2006/main" count="2513" uniqueCount="45">
  <si>
    <t>Order ID</t>
  </si>
  <si>
    <t>Order Date</t>
  </si>
  <si>
    <t>City</t>
  </si>
  <si>
    <t>Category</t>
  </si>
  <si>
    <t>Product</t>
  </si>
  <si>
    <t>Material</t>
  </si>
  <si>
    <t>Salesperson</t>
  </si>
  <si>
    <t>Quantity</t>
  </si>
  <si>
    <t>Unit Price</t>
  </si>
  <si>
    <t>Sales</t>
  </si>
  <si>
    <t>Cost</t>
  </si>
  <si>
    <t>Profit</t>
  </si>
  <si>
    <t>Profit Margin</t>
  </si>
  <si>
    <t>Mumbai</t>
  </si>
  <si>
    <t>Earrings</t>
  </si>
  <si>
    <t>Diamond Earrings</t>
  </si>
  <si>
    <t>Diamond</t>
  </si>
  <si>
    <t>Meera</t>
  </si>
  <si>
    <t>Ahmedabad</t>
  </si>
  <si>
    <t>Rings</t>
  </si>
  <si>
    <t>Diamond Ring</t>
  </si>
  <si>
    <t>Arjun</t>
  </si>
  <si>
    <t>Delhi</t>
  </si>
  <si>
    <t>Bracelets</t>
  </si>
  <si>
    <t>Bracelet</t>
  </si>
  <si>
    <t>Gold</t>
  </si>
  <si>
    <t>Aisha</t>
  </si>
  <si>
    <t>Surat</t>
  </si>
  <si>
    <t>Anklets</t>
  </si>
  <si>
    <t>Anklet</t>
  </si>
  <si>
    <t>Silver</t>
  </si>
  <si>
    <t>Rohan</t>
  </si>
  <si>
    <t>Jaipur</t>
  </si>
  <si>
    <t>Necklaces</t>
  </si>
  <si>
    <t>Gold Necklace</t>
  </si>
  <si>
    <t>Pune</t>
  </si>
  <si>
    <t>Karan</t>
  </si>
  <si>
    <t>Bangalore</t>
  </si>
  <si>
    <t>Bangle</t>
  </si>
  <si>
    <t>Nisha</t>
  </si>
  <si>
    <t>Gold Earrings</t>
  </si>
  <si>
    <t>Diamond Necklace</t>
  </si>
  <si>
    <t>Pendants</t>
  </si>
  <si>
    <t>Pendant</t>
  </si>
  <si>
    <t>Gold 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</si>
</sst>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0" fontId="1" fillId="0" borderId="2" xfId="0" applyNumberFormat="1" applyFont="1" applyFill="1" applyBorder="1" applyAlignment="1">
      <alignment horizontal="center" vertical="top"/>
    </xf>
    <xf numFmtId="165" fontId="0" fillId="0" borderId="0" xfId="0" applyNumberFormat="1"/>
    <xf numFmtId="16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1A459-580C-4033-986F-6FFA411C59AF}">
  <dimension ref="A1:M1048576"/>
  <sheetViews>
    <sheetView tabSelected="1" zoomScaleNormal="100" workbookViewId="0">
      <pane ySplit="1" topLeftCell="A2" activePane="bottomLeft" state="frozen"/>
      <selection pane="bottomLeft" activeCell="F496" sqref="F496"/>
    </sheetView>
  </sheetViews>
  <sheetFormatPr defaultRowHeight="14.5" x14ac:dyDescent="0.35"/>
  <cols>
    <col min="2" max="2" width="25.08984375" customWidth="1"/>
    <col min="3" max="3" width="12.36328125" customWidth="1"/>
    <col min="4" max="4" width="14.54296875" customWidth="1"/>
    <col min="5" max="5" width="16.453125" customWidth="1"/>
    <col min="6" max="6" width="13" customWidth="1"/>
    <col min="7" max="7" width="14.1796875" customWidth="1"/>
    <col min="9" max="12" width="16.81640625" style="5" customWidth="1"/>
    <col min="13" max="13" width="16.81640625" style="6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spans="1:13" x14ac:dyDescent="0.35">
      <c r="A2">
        <v>2000</v>
      </c>
      <c r="B2" s="4">
        <v>45625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1</v>
      </c>
      <c r="I2" s="5">
        <v>17494</v>
      </c>
      <c r="J2" s="5">
        <v>17494</v>
      </c>
      <c r="K2" s="5">
        <v>14244.57</v>
      </c>
      <c r="L2" s="5">
        <v>3249.43</v>
      </c>
      <c r="M2" s="6">
        <f>L2/J2</f>
        <v>0.18574539842231622</v>
      </c>
    </row>
    <row r="3" spans="1:13" x14ac:dyDescent="0.35">
      <c r="A3">
        <v>2001</v>
      </c>
      <c r="B3" s="4">
        <v>45321</v>
      </c>
      <c r="C3" t="s">
        <v>18</v>
      </c>
      <c r="D3" t="s">
        <v>19</v>
      </c>
      <c r="E3" t="s">
        <v>20</v>
      </c>
      <c r="F3" t="s">
        <v>16</v>
      </c>
      <c r="G3" t="s">
        <v>21</v>
      </c>
      <c r="H3">
        <v>5</v>
      </c>
      <c r="I3" s="5">
        <v>36140</v>
      </c>
      <c r="J3" s="5">
        <v>180700</v>
      </c>
      <c r="K3" s="5">
        <v>118810.09</v>
      </c>
      <c r="L3" s="5">
        <v>61889.91</v>
      </c>
      <c r="M3" s="6">
        <f t="shared" ref="M3:M66" si="0">L3/J3</f>
        <v>0.34250088544548979</v>
      </c>
    </row>
    <row r="4" spans="1:13" x14ac:dyDescent="0.35">
      <c r="A4">
        <v>2002</v>
      </c>
      <c r="B4" s="4">
        <v>45415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>
        <v>1</v>
      </c>
      <c r="I4" s="5">
        <v>63642</v>
      </c>
      <c r="J4" s="5">
        <v>63642</v>
      </c>
      <c r="K4" s="5">
        <v>42119.68</v>
      </c>
      <c r="L4" s="5">
        <v>21522.32</v>
      </c>
      <c r="M4" s="6">
        <f t="shared" si="0"/>
        <v>0.33817793281166525</v>
      </c>
    </row>
    <row r="5" spans="1:13" x14ac:dyDescent="0.35">
      <c r="A5">
        <v>2003</v>
      </c>
      <c r="B5" s="4">
        <v>45614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>
        <v>5</v>
      </c>
      <c r="I5" s="5">
        <v>16108</v>
      </c>
      <c r="J5" s="5">
        <v>80540</v>
      </c>
      <c r="K5" s="5">
        <v>61646.97</v>
      </c>
      <c r="L5" s="5">
        <v>18893.03</v>
      </c>
      <c r="M5" s="6">
        <f t="shared" si="0"/>
        <v>0.2345794636205612</v>
      </c>
    </row>
    <row r="6" spans="1:13" x14ac:dyDescent="0.35">
      <c r="A6">
        <v>2004</v>
      </c>
      <c r="B6" s="4">
        <v>45315</v>
      </c>
      <c r="C6" t="s">
        <v>27</v>
      </c>
      <c r="D6" t="s">
        <v>23</v>
      </c>
      <c r="E6" t="s">
        <v>24</v>
      </c>
      <c r="F6" t="s">
        <v>25</v>
      </c>
      <c r="G6" t="s">
        <v>31</v>
      </c>
      <c r="H6">
        <v>5</v>
      </c>
      <c r="I6" s="5">
        <v>25455</v>
      </c>
      <c r="J6" s="5">
        <v>127275</v>
      </c>
      <c r="K6" s="5">
        <v>90100.75</v>
      </c>
      <c r="L6" s="5">
        <v>37174.25</v>
      </c>
      <c r="M6" s="6">
        <f t="shared" si="0"/>
        <v>0.29207817717540757</v>
      </c>
    </row>
    <row r="7" spans="1:13" x14ac:dyDescent="0.35">
      <c r="A7">
        <v>2005</v>
      </c>
      <c r="B7" s="4">
        <v>45584</v>
      </c>
      <c r="C7" t="s">
        <v>32</v>
      </c>
      <c r="D7" t="s">
        <v>33</v>
      </c>
      <c r="E7" t="s">
        <v>34</v>
      </c>
      <c r="F7" t="s">
        <v>25</v>
      </c>
      <c r="G7" t="s">
        <v>26</v>
      </c>
      <c r="H7">
        <v>3</v>
      </c>
      <c r="I7" s="5">
        <v>31688</v>
      </c>
      <c r="J7" s="5">
        <v>95064</v>
      </c>
      <c r="K7" s="5">
        <v>63750.98</v>
      </c>
      <c r="L7" s="5">
        <v>31313.02</v>
      </c>
      <c r="M7" s="6">
        <f t="shared" si="0"/>
        <v>0.32938883278633341</v>
      </c>
    </row>
    <row r="8" spans="1:13" x14ac:dyDescent="0.35">
      <c r="A8">
        <v>2006</v>
      </c>
      <c r="B8" s="4">
        <v>45482</v>
      </c>
      <c r="C8" t="s">
        <v>35</v>
      </c>
      <c r="D8" t="s">
        <v>28</v>
      </c>
      <c r="E8" t="s">
        <v>29</v>
      </c>
      <c r="F8" t="s">
        <v>30</v>
      </c>
      <c r="G8" t="s">
        <v>31</v>
      </c>
      <c r="H8">
        <v>1</v>
      </c>
      <c r="I8" s="5">
        <v>79793</v>
      </c>
      <c r="J8" s="5">
        <v>79793</v>
      </c>
      <c r="K8" s="5">
        <v>63229.74</v>
      </c>
      <c r="L8" s="5">
        <v>16563.259999999998</v>
      </c>
      <c r="M8" s="6">
        <f t="shared" si="0"/>
        <v>0.20757785770681636</v>
      </c>
    </row>
    <row r="9" spans="1:13" x14ac:dyDescent="0.35">
      <c r="A9">
        <v>2007</v>
      </c>
      <c r="B9" s="4">
        <v>45397</v>
      </c>
      <c r="C9" t="s">
        <v>27</v>
      </c>
      <c r="D9" t="s">
        <v>28</v>
      </c>
      <c r="E9" t="s">
        <v>29</v>
      </c>
      <c r="F9" t="s">
        <v>30</v>
      </c>
      <c r="G9" t="s">
        <v>21</v>
      </c>
      <c r="H9">
        <v>4</v>
      </c>
      <c r="I9" s="5">
        <v>77693</v>
      </c>
      <c r="J9" s="5">
        <v>310772</v>
      </c>
      <c r="K9" s="5">
        <v>228578.54</v>
      </c>
      <c r="L9" s="5">
        <v>82193.460000000006</v>
      </c>
      <c r="M9" s="6">
        <f t="shared" si="0"/>
        <v>0.26448154917431432</v>
      </c>
    </row>
    <row r="10" spans="1:13" x14ac:dyDescent="0.35">
      <c r="A10">
        <v>2008</v>
      </c>
      <c r="B10" s="4">
        <v>45524</v>
      </c>
      <c r="C10" t="s">
        <v>22</v>
      </c>
      <c r="D10" t="s">
        <v>14</v>
      </c>
      <c r="E10" t="s">
        <v>15</v>
      </c>
      <c r="F10" t="s">
        <v>16</v>
      </c>
      <c r="G10" t="s">
        <v>21</v>
      </c>
      <c r="H10">
        <v>3</v>
      </c>
      <c r="I10" s="5">
        <v>47291</v>
      </c>
      <c r="J10" s="5">
        <v>141873</v>
      </c>
      <c r="K10" s="5">
        <v>99266.45</v>
      </c>
      <c r="L10" s="5">
        <v>42606.55</v>
      </c>
      <c r="M10" s="6">
        <f t="shared" si="0"/>
        <v>0.3003147180929423</v>
      </c>
    </row>
    <row r="11" spans="1:13" x14ac:dyDescent="0.35">
      <c r="A11">
        <v>2009</v>
      </c>
      <c r="B11" s="4">
        <v>45333</v>
      </c>
      <c r="C11" t="s">
        <v>35</v>
      </c>
      <c r="D11" t="s">
        <v>33</v>
      </c>
      <c r="E11" t="s">
        <v>34</v>
      </c>
      <c r="F11" t="s">
        <v>25</v>
      </c>
      <c r="G11" t="s">
        <v>31</v>
      </c>
      <c r="H11">
        <v>5</v>
      </c>
      <c r="I11" s="5">
        <v>47354</v>
      </c>
      <c r="J11" s="5">
        <v>236770</v>
      </c>
      <c r="K11" s="5">
        <v>178770.66</v>
      </c>
      <c r="L11" s="5">
        <v>57999.34</v>
      </c>
      <c r="M11" s="6">
        <f t="shared" si="0"/>
        <v>0.24496067914009376</v>
      </c>
    </row>
    <row r="12" spans="1:13" x14ac:dyDescent="0.35">
      <c r="A12">
        <v>2010</v>
      </c>
      <c r="B12" s="4">
        <v>45439</v>
      </c>
      <c r="C12" t="s">
        <v>35</v>
      </c>
      <c r="D12" t="s">
        <v>14</v>
      </c>
      <c r="E12" t="s">
        <v>15</v>
      </c>
      <c r="F12" t="s">
        <v>16</v>
      </c>
      <c r="G12" t="s">
        <v>17</v>
      </c>
      <c r="H12">
        <v>5</v>
      </c>
      <c r="I12" s="5">
        <v>17594</v>
      </c>
      <c r="J12" s="5">
        <v>87970</v>
      </c>
      <c r="K12" s="5">
        <v>59257.75</v>
      </c>
      <c r="L12" s="5">
        <v>28712.25</v>
      </c>
      <c r="M12" s="6">
        <f t="shared" si="0"/>
        <v>0.32638683642150734</v>
      </c>
    </row>
    <row r="13" spans="1:13" x14ac:dyDescent="0.35">
      <c r="A13">
        <v>2011</v>
      </c>
      <c r="B13" s="4">
        <v>45369</v>
      </c>
      <c r="C13" t="s">
        <v>13</v>
      </c>
      <c r="D13" t="s">
        <v>23</v>
      </c>
      <c r="E13" t="s">
        <v>24</v>
      </c>
      <c r="F13" t="s">
        <v>25</v>
      </c>
      <c r="G13" t="s">
        <v>36</v>
      </c>
      <c r="H13">
        <v>4</v>
      </c>
      <c r="I13" s="5">
        <v>63272</v>
      </c>
      <c r="J13" s="5">
        <v>253088</v>
      </c>
      <c r="K13" s="5">
        <v>166491.78</v>
      </c>
      <c r="L13" s="5">
        <v>86596.22</v>
      </c>
      <c r="M13" s="6">
        <f t="shared" si="0"/>
        <v>0.34215853774181315</v>
      </c>
    </row>
    <row r="14" spans="1:13" x14ac:dyDescent="0.35">
      <c r="A14">
        <v>2012</v>
      </c>
      <c r="B14" s="4">
        <v>45585</v>
      </c>
      <c r="C14" t="s">
        <v>37</v>
      </c>
      <c r="D14" t="s">
        <v>19</v>
      </c>
      <c r="E14" t="s">
        <v>20</v>
      </c>
      <c r="F14" t="s">
        <v>16</v>
      </c>
      <c r="G14" t="s">
        <v>21</v>
      </c>
      <c r="H14">
        <v>3</v>
      </c>
      <c r="I14" s="5">
        <v>52580</v>
      </c>
      <c r="J14" s="5">
        <v>157740</v>
      </c>
      <c r="K14" s="5">
        <v>124466.18</v>
      </c>
      <c r="L14" s="5">
        <v>33273.82</v>
      </c>
      <c r="M14" s="6">
        <f t="shared" si="0"/>
        <v>0.21094091543045518</v>
      </c>
    </row>
    <row r="15" spans="1:13" x14ac:dyDescent="0.35">
      <c r="A15">
        <v>2013</v>
      </c>
      <c r="B15" s="4">
        <v>45525</v>
      </c>
      <c r="C15" t="s">
        <v>22</v>
      </c>
      <c r="D15" t="s">
        <v>28</v>
      </c>
      <c r="E15" t="s">
        <v>29</v>
      </c>
      <c r="F15" t="s">
        <v>30</v>
      </c>
      <c r="G15" t="s">
        <v>21</v>
      </c>
      <c r="H15">
        <v>1</v>
      </c>
      <c r="I15" s="5">
        <v>20267</v>
      </c>
      <c r="J15" s="5">
        <v>20267</v>
      </c>
      <c r="K15" s="5">
        <v>17002.72</v>
      </c>
      <c r="L15" s="5">
        <v>3264.28</v>
      </c>
      <c r="M15" s="6">
        <f t="shared" si="0"/>
        <v>0.16106379829279124</v>
      </c>
    </row>
    <row r="16" spans="1:13" x14ac:dyDescent="0.35">
      <c r="A16">
        <v>2014</v>
      </c>
      <c r="B16" s="4">
        <v>45325</v>
      </c>
      <c r="C16" t="s">
        <v>35</v>
      </c>
      <c r="D16" t="s">
        <v>23</v>
      </c>
      <c r="E16" t="s">
        <v>38</v>
      </c>
      <c r="F16" t="s">
        <v>25</v>
      </c>
      <c r="G16" t="s">
        <v>39</v>
      </c>
      <c r="H16">
        <v>1</v>
      </c>
      <c r="I16" s="5">
        <v>48580</v>
      </c>
      <c r="J16" s="5">
        <v>48580</v>
      </c>
      <c r="K16" s="5">
        <v>37864.5</v>
      </c>
      <c r="L16" s="5">
        <v>10715.5</v>
      </c>
      <c r="M16" s="6">
        <f t="shared" si="0"/>
        <v>0.22057431041580897</v>
      </c>
    </row>
    <row r="17" spans="1:13" x14ac:dyDescent="0.35">
      <c r="A17">
        <v>2015</v>
      </c>
      <c r="B17" s="4">
        <v>45489</v>
      </c>
      <c r="C17" t="s">
        <v>18</v>
      </c>
      <c r="D17" t="s">
        <v>23</v>
      </c>
      <c r="E17" t="s">
        <v>38</v>
      </c>
      <c r="F17" t="s">
        <v>25</v>
      </c>
      <c r="G17" t="s">
        <v>39</v>
      </c>
      <c r="H17">
        <v>3</v>
      </c>
      <c r="I17" s="5">
        <v>10957</v>
      </c>
      <c r="J17" s="5">
        <v>32871</v>
      </c>
      <c r="K17" s="5">
        <v>27550.16</v>
      </c>
      <c r="L17" s="5">
        <v>5320.84</v>
      </c>
      <c r="M17" s="6">
        <f t="shared" si="0"/>
        <v>0.16187034163852637</v>
      </c>
    </row>
    <row r="18" spans="1:13" x14ac:dyDescent="0.35">
      <c r="A18">
        <v>2016</v>
      </c>
      <c r="B18" s="4">
        <v>45351</v>
      </c>
      <c r="C18" t="s">
        <v>13</v>
      </c>
      <c r="D18" t="s">
        <v>14</v>
      </c>
      <c r="E18" t="s">
        <v>15</v>
      </c>
      <c r="F18" t="s">
        <v>16</v>
      </c>
      <c r="G18" t="s">
        <v>21</v>
      </c>
      <c r="H18">
        <v>4</v>
      </c>
      <c r="I18" s="5">
        <v>15727</v>
      </c>
      <c r="J18" s="5">
        <v>62908</v>
      </c>
      <c r="K18" s="5">
        <v>43635.6</v>
      </c>
      <c r="L18" s="5">
        <v>19272.400000000001</v>
      </c>
      <c r="M18" s="6">
        <f t="shared" si="0"/>
        <v>0.30635849176575319</v>
      </c>
    </row>
    <row r="19" spans="1:13" x14ac:dyDescent="0.35">
      <c r="A19">
        <v>2017</v>
      </c>
      <c r="B19" s="4">
        <v>45418</v>
      </c>
      <c r="C19" t="s">
        <v>13</v>
      </c>
      <c r="D19" t="s">
        <v>14</v>
      </c>
      <c r="E19" t="s">
        <v>40</v>
      </c>
      <c r="F19" t="s">
        <v>25</v>
      </c>
      <c r="G19" t="s">
        <v>39</v>
      </c>
      <c r="H19">
        <v>4</v>
      </c>
      <c r="I19" s="5">
        <v>59242</v>
      </c>
      <c r="J19" s="5">
        <v>236968</v>
      </c>
      <c r="K19" s="5">
        <v>197480.42</v>
      </c>
      <c r="L19" s="5">
        <v>39487.58</v>
      </c>
      <c r="M19" s="6">
        <f t="shared" si="0"/>
        <v>0.16663676108166503</v>
      </c>
    </row>
    <row r="20" spans="1:13" x14ac:dyDescent="0.35">
      <c r="A20">
        <v>2018</v>
      </c>
      <c r="B20" s="4">
        <v>45521</v>
      </c>
      <c r="C20" t="s">
        <v>27</v>
      </c>
      <c r="D20" t="s">
        <v>23</v>
      </c>
      <c r="E20" t="s">
        <v>38</v>
      </c>
      <c r="F20" t="s">
        <v>25</v>
      </c>
      <c r="G20" t="s">
        <v>31</v>
      </c>
      <c r="H20">
        <v>4</v>
      </c>
      <c r="I20" s="5">
        <v>44416</v>
      </c>
      <c r="J20" s="5">
        <v>177664</v>
      </c>
      <c r="K20" s="5">
        <v>146870.70000000001</v>
      </c>
      <c r="L20" s="5">
        <v>30793.3</v>
      </c>
      <c r="M20" s="6">
        <f t="shared" si="0"/>
        <v>0.17332323937319885</v>
      </c>
    </row>
    <row r="21" spans="1:13" x14ac:dyDescent="0.35">
      <c r="A21">
        <v>2019</v>
      </c>
      <c r="B21" s="4">
        <v>45434</v>
      </c>
      <c r="C21" t="s">
        <v>37</v>
      </c>
      <c r="D21" t="s">
        <v>23</v>
      </c>
      <c r="E21" t="s">
        <v>24</v>
      </c>
      <c r="F21" t="s">
        <v>25</v>
      </c>
      <c r="G21" t="s">
        <v>21</v>
      </c>
      <c r="H21">
        <v>4</v>
      </c>
      <c r="I21" s="5">
        <v>55024</v>
      </c>
      <c r="J21" s="5">
        <v>220096</v>
      </c>
      <c r="K21" s="5">
        <v>173115.32</v>
      </c>
      <c r="L21" s="5">
        <v>46980.68</v>
      </c>
      <c r="M21" s="6">
        <f t="shared" si="0"/>
        <v>0.21345540127944171</v>
      </c>
    </row>
    <row r="22" spans="1:13" x14ac:dyDescent="0.35">
      <c r="A22">
        <v>2020</v>
      </c>
      <c r="B22" s="4">
        <v>45334</v>
      </c>
      <c r="C22" t="s">
        <v>13</v>
      </c>
      <c r="D22" t="s">
        <v>23</v>
      </c>
      <c r="E22" t="s">
        <v>24</v>
      </c>
      <c r="F22" t="s">
        <v>25</v>
      </c>
      <c r="G22" t="s">
        <v>31</v>
      </c>
      <c r="H22">
        <v>2</v>
      </c>
      <c r="I22" s="5">
        <v>27830</v>
      </c>
      <c r="J22" s="5">
        <v>55660</v>
      </c>
      <c r="K22" s="5">
        <v>38761.14</v>
      </c>
      <c r="L22" s="5">
        <v>16898.86</v>
      </c>
      <c r="M22" s="6">
        <f t="shared" si="0"/>
        <v>0.30360869565217391</v>
      </c>
    </row>
    <row r="23" spans="1:13" x14ac:dyDescent="0.35">
      <c r="A23">
        <v>2021</v>
      </c>
      <c r="B23" s="4">
        <v>45593</v>
      </c>
      <c r="C23" t="s">
        <v>27</v>
      </c>
      <c r="D23" t="s">
        <v>33</v>
      </c>
      <c r="E23" t="s">
        <v>41</v>
      </c>
      <c r="F23" t="s">
        <v>16</v>
      </c>
      <c r="G23" t="s">
        <v>17</v>
      </c>
      <c r="H23">
        <v>2</v>
      </c>
      <c r="I23" s="5">
        <v>42438</v>
      </c>
      <c r="J23" s="5">
        <v>84876</v>
      </c>
      <c r="K23" s="5">
        <v>59955.23</v>
      </c>
      <c r="L23" s="5">
        <v>24920.77</v>
      </c>
      <c r="M23" s="6">
        <f t="shared" si="0"/>
        <v>0.2936138602196145</v>
      </c>
    </row>
    <row r="24" spans="1:13" x14ac:dyDescent="0.35">
      <c r="A24">
        <v>2022</v>
      </c>
      <c r="B24" s="4">
        <v>45481</v>
      </c>
      <c r="C24" t="s">
        <v>22</v>
      </c>
      <c r="D24" t="s">
        <v>33</v>
      </c>
      <c r="E24" t="s">
        <v>34</v>
      </c>
      <c r="F24" t="s">
        <v>25</v>
      </c>
      <c r="G24" t="s">
        <v>21</v>
      </c>
      <c r="H24">
        <v>5</v>
      </c>
      <c r="I24" s="5">
        <v>49761</v>
      </c>
      <c r="J24" s="5">
        <v>248805</v>
      </c>
      <c r="K24" s="5">
        <v>209150.36</v>
      </c>
      <c r="L24" s="5">
        <v>39654.639999999999</v>
      </c>
      <c r="M24" s="6">
        <f t="shared" si="0"/>
        <v>0.15938039830389261</v>
      </c>
    </row>
    <row r="25" spans="1:13" x14ac:dyDescent="0.35">
      <c r="A25">
        <v>2023</v>
      </c>
      <c r="B25" s="4">
        <v>45638</v>
      </c>
      <c r="C25" t="s">
        <v>32</v>
      </c>
      <c r="D25" t="s">
        <v>42</v>
      </c>
      <c r="E25" t="s">
        <v>43</v>
      </c>
      <c r="F25" t="s">
        <v>25</v>
      </c>
      <c r="G25" t="s">
        <v>39</v>
      </c>
      <c r="H25">
        <v>1</v>
      </c>
      <c r="I25" s="5">
        <v>67853</v>
      </c>
      <c r="J25" s="5">
        <v>67853</v>
      </c>
      <c r="K25" s="5">
        <v>56311.65</v>
      </c>
      <c r="L25" s="5">
        <v>11541.35</v>
      </c>
      <c r="M25" s="6">
        <f t="shared" si="0"/>
        <v>0.17009343728353943</v>
      </c>
    </row>
    <row r="26" spans="1:13" x14ac:dyDescent="0.35">
      <c r="A26">
        <v>2024</v>
      </c>
      <c r="B26" s="4">
        <v>45496</v>
      </c>
      <c r="C26" t="s">
        <v>22</v>
      </c>
      <c r="D26" t="s">
        <v>42</v>
      </c>
      <c r="E26" t="s">
        <v>43</v>
      </c>
      <c r="F26" t="s">
        <v>25</v>
      </c>
      <c r="G26" t="s">
        <v>17</v>
      </c>
      <c r="H26">
        <v>4</v>
      </c>
      <c r="I26" s="5">
        <v>21570</v>
      </c>
      <c r="J26" s="5">
        <v>86280</v>
      </c>
      <c r="K26" s="5">
        <v>64391.16</v>
      </c>
      <c r="L26" s="5">
        <v>21888.84</v>
      </c>
      <c r="M26" s="6">
        <f t="shared" si="0"/>
        <v>0.25369541029207232</v>
      </c>
    </row>
    <row r="27" spans="1:13" x14ac:dyDescent="0.35">
      <c r="A27">
        <v>2025</v>
      </c>
      <c r="B27" s="4">
        <v>45326</v>
      </c>
      <c r="C27" t="s">
        <v>27</v>
      </c>
      <c r="D27" t="s">
        <v>23</v>
      </c>
      <c r="E27" t="s">
        <v>24</v>
      </c>
      <c r="F27" t="s">
        <v>25</v>
      </c>
      <c r="G27" t="s">
        <v>31</v>
      </c>
      <c r="H27">
        <v>2</v>
      </c>
      <c r="I27" s="5">
        <v>65753</v>
      </c>
      <c r="J27" s="5">
        <v>131506</v>
      </c>
      <c r="K27" s="5">
        <v>89747.67</v>
      </c>
      <c r="L27" s="5">
        <v>41758.33</v>
      </c>
      <c r="M27" s="6">
        <f t="shared" si="0"/>
        <v>0.31753935181664716</v>
      </c>
    </row>
    <row r="28" spans="1:13" x14ac:dyDescent="0.35">
      <c r="A28">
        <v>2026</v>
      </c>
      <c r="B28" s="4">
        <v>45344</v>
      </c>
      <c r="C28" t="s">
        <v>32</v>
      </c>
      <c r="D28" t="s">
        <v>14</v>
      </c>
      <c r="E28" t="s">
        <v>15</v>
      </c>
      <c r="F28" t="s">
        <v>16</v>
      </c>
      <c r="G28" t="s">
        <v>26</v>
      </c>
      <c r="H28">
        <v>1</v>
      </c>
      <c r="I28" s="5">
        <v>27826</v>
      </c>
      <c r="J28" s="5">
        <v>27826</v>
      </c>
      <c r="K28" s="5">
        <v>21073.29</v>
      </c>
      <c r="L28" s="5">
        <v>6752.71</v>
      </c>
      <c r="M28" s="6">
        <f t="shared" si="0"/>
        <v>0.24267627398835623</v>
      </c>
    </row>
    <row r="29" spans="1:13" x14ac:dyDescent="0.35">
      <c r="A29">
        <v>2027</v>
      </c>
      <c r="B29" s="4">
        <v>45328</v>
      </c>
      <c r="C29" t="s">
        <v>32</v>
      </c>
      <c r="D29" t="s">
        <v>14</v>
      </c>
      <c r="E29" t="s">
        <v>15</v>
      </c>
      <c r="F29" t="s">
        <v>16</v>
      </c>
      <c r="G29" t="s">
        <v>26</v>
      </c>
      <c r="H29">
        <v>2</v>
      </c>
      <c r="I29" s="5">
        <v>57313</v>
      </c>
      <c r="J29" s="5">
        <v>114626</v>
      </c>
      <c r="K29" s="5">
        <v>77912.45</v>
      </c>
      <c r="L29" s="5">
        <v>36713.550000000003</v>
      </c>
      <c r="M29" s="6">
        <f t="shared" si="0"/>
        <v>0.32028989932476054</v>
      </c>
    </row>
    <row r="30" spans="1:13" x14ac:dyDescent="0.35">
      <c r="A30">
        <v>2028</v>
      </c>
      <c r="B30" s="4">
        <v>45478</v>
      </c>
      <c r="C30" t="s">
        <v>18</v>
      </c>
      <c r="D30" t="s">
        <v>14</v>
      </c>
      <c r="E30" t="s">
        <v>40</v>
      </c>
      <c r="F30" t="s">
        <v>25</v>
      </c>
      <c r="G30" t="s">
        <v>21</v>
      </c>
      <c r="H30">
        <v>4</v>
      </c>
      <c r="I30" s="5">
        <v>24101</v>
      </c>
      <c r="J30" s="5">
        <v>96404</v>
      </c>
      <c r="K30" s="5">
        <v>64886.71</v>
      </c>
      <c r="L30" s="5">
        <v>31517.29</v>
      </c>
      <c r="M30" s="6">
        <f t="shared" si="0"/>
        <v>0.32692927679349404</v>
      </c>
    </row>
    <row r="31" spans="1:13" x14ac:dyDescent="0.35">
      <c r="A31">
        <v>2029</v>
      </c>
      <c r="B31" s="4">
        <v>45539</v>
      </c>
      <c r="C31" t="s">
        <v>22</v>
      </c>
      <c r="D31" t="s">
        <v>23</v>
      </c>
      <c r="E31" t="s">
        <v>38</v>
      </c>
      <c r="F31" t="s">
        <v>25</v>
      </c>
      <c r="G31" t="s">
        <v>17</v>
      </c>
      <c r="H31">
        <v>3</v>
      </c>
      <c r="I31" s="5">
        <v>19257</v>
      </c>
      <c r="J31" s="5">
        <v>57771</v>
      </c>
      <c r="K31" s="5">
        <v>39216.31</v>
      </c>
      <c r="L31" s="5">
        <v>18554.689999999999</v>
      </c>
      <c r="M31" s="6">
        <f t="shared" si="0"/>
        <v>0.32117654186356476</v>
      </c>
    </row>
    <row r="32" spans="1:13" x14ac:dyDescent="0.35">
      <c r="A32">
        <v>2030</v>
      </c>
      <c r="B32" s="4">
        <v>45537</v>
      </c>
      <c r="C32" t="s">
        <v>35</v>
      </c>
      <c r="D32" t="s">
        <v>14</v>
      </c>
      <c r="E32" t="s">
        <v>15</v>
      </c>
      <c r="F32" t="s">
        <v>16</v>
      </c>
      <c r="G32" t="s">
        <v>36</v>
      </c>
      <c r="H32">
        <v>2</v>
      </c>
      <c r="I32" s="5">
        <v>75676</v>
      </c>
      <c r="J32" s="5">
        <v>151352</v>
      </c>
      <c r="K32" s="5">
        <v>99077.92</v>
      </c>
      <c r="L32" s="5">
        <v>52274.080000000002</v>
      </c>
      <c r="M32" s="6">
        <f t="shared" si="0"/>
        <v>0.34538083408213965</v>
      </c>
    </row>
    <row r="33" spans="1:13" x14ac:dyDescent="0.35">
      <c r="A33">
        <v>2031</v>
      </c>
      <c r="B33" s="4">
        <v>45645</v>
      </c>
      <c r="C33" t="s">
        <v>18</v>
      </c>
      <c r="D33" t="s">
        <v>42</v>
      </c>
      <c r="E33" t="s">
        <v>43</v>
      </c>
      <c r="F33" t="s">
        <v>25</v>
      </c>
      <c r="G33" t="s">
        <v>31</v>
      </c>
      <c r="H33">
        <v>5</v>
      </c>
      <c r="I33" s="5">
        <v>11544</v>
      </c>
      <c r="J33" s="5">
        <v>57720</v>
      </c>
      <c r="K33" s="5">
        <v>46270</v>
      </c>
      <c r="L33" s="5">
        <v>11450</v>
      </c>
      <c r="M33" s="6">
        <f t="shared" si="0"/>
        <v>0.19837144837144838</v>
      </c>
    </row>
    <row r="34" spans="1:13" x14ac:dyDescent="0.35">
      <c r="A34">
        <v>2032</v>
      </c>
      <c r="B34" s="4">
        <v>45648</v>
      </c>
      <c r="C34" t="s">
        <v>35</v>
      </c>
      <c r="D34" t="s">
        <v>14</v>
      </c>
      <c r="E34" t="s">
        <v>40</v>
      </c>
      <c r="F34" t="s">
        <v>25</v>
      </c>
      <c r="G34" t="s">
        <v>26</v>
      </c>
      <c r="H34">
        <v>3</v>
      </c>
      <c r="I34" s="5">
        <v>75947</v>
      </c>
      <c r="J34" s="5">
        <v>227841</v>
      </c>
      <c r="K34" s="5">
        <v>164806.5</v>
      </c>
      <c r="L34" s="5">
        <v>63034.5</v>
      </c>
      <c r="M34" s="6">
        <f t="shared" si="0"/>
        <v>0.27666003923788957</v>
      </c>
    </row>
    <row r="35" spans="1:13" x14ac:dyDescent="0.35">
      <c r="A35">
        <v>2033</v>
      </c>
      <c r="B35" s="4">
        <v>45564</v>
      </c>
      <c r="C35" t="s">
        <v>18</v>
      </c>
      <c r="D35" t="s">
        <v>33</v>
      </c>
      <c r="E35" t="s">
        <v>34</v>
      </c>
      <c r="F35" t="s">
        <v>25</v>
      </c>
      <c r="G35" t="s">
        <v>31</v>
      </c>
      <c r="H35">
        <v>5</v>
      </c>
      <c r="I35" s="5">
        <v>73889</v>
      </c>
      <c r="J35" s="5">
        <v>369445</v>
      </c>
      <c r="K35" s="5">
        <v>264497.87</v>
      </c>
      <c r="L35" s="5">
        <v>104947.13</v>
      </c>
      <c r="M35" s="6">
        <f t="shared" si="0"/>
        <v>0.28406699238046262</v>
      </c>
    </row>
    <row r="36" spans="1:13" x14ac:dyDescent="0.35">
      <c r="A36">
        <v>2034</v>
      </c>
      <c r="B36" s="4">
        <v>45414</v>
      </c>
      <c r="C36" t="s">
        <v>32</v>
      </c>
      <c r="D36" t="s">
        <v>33</v>
      </c>
      <c r="E36" t="s">
        <v>41</v>
      </c>
      <c r="F36" t="s">
        <v>16</v>
      </c>
      <c r="G36" t="s">
        <v>31</v>
      </c>
      <c r="H36">
        <v>4</v>
      </c>
      <c r="I36" s="5">
        <v>37719</v>
      </c>
      <c r="J36" s="5">
        <v>150876</v>
      </c>
      <c r="K36" s="5">
        <v>104101.97</v>
      </c>
      <c r="L36" s="5">
        <v>46774.03</v>
      </c>
      <c r="M36" s="6">
        <f t="shared" si="0"/>
        <v>0.31001637105967816</v>
      </c>
    </row>
    <row r="37" spans="1:13" x14ac:dyDescent="0.35">
      <c r="A37">
        <v>2035</v>
      </c>
      <c r="B37" s="4">
        <v>45306</v>
      </c>
      <c r="C37" t="s">
        <v>18</v>
      </c>
      <c r="D37" t="s">
        <v>23</v>
      </c>
      <c r="E37" t="s">
        <v>38</v>
      </c>
      <c r="F37" t="s">
        <v>25</v>
      </c>
      <c r="G37" t="s">
        <v>39</v>
      </c>
      <c r="H37">
        <v>1</v>
      </c>
      <c r="I37" s="5">
        <v>44623</v>
      </c>
      <c r="J37" s="5">
        <v>44623</v>
      </c>
      <c r="K37" s="5">
        <v>33219.5</v>
      </c>
      <c r="L37" s="5">
        <v>11403.5</v>
      </c>
      <c r="M37" s="6">
        <f t="shared" si="0"/>
        <v>0.25555206956054055</v>
      </c>
    </row>
    <row r="38" spans="1:13" x14ac:dyDescent="0.35">
      <c r="A38">
        <v>2036</v>
      </c>
      <c r="B38" s="4">
        <v>45468</v>
      </c>
      <c r="C38" t="s">
        <v>35</v>
      </c>
      <c r="D38" t="s">
        <v>33</v>
      </c>
      <c r="E38" t="s">
        <v>41</v>
      </c>
      <c r="F38" t="s">
        <v>16</v>
      </c>
      <c r="G38" t="s">
        <v>21</v>
      </c>
      <c r="H38">
        <v>4</v>
      </c>
      <c r="I38" s="5">
        <v>53812</v>
      </c>
      <c r="J38" s="5">
        <v>215248</v>
      </c>
      <c r="K38" s="5">
        <v>181023.6</v>
      </c>
      <c r="L38" s="5">
        <v>34224.400000000001</v>
      </c>
      <c r="M38" s="6">
        <f t="shared" si="0"/>
        <v>0.15899985133427488</v>
      </c>
    </row>
    <row r="39" spans="1:13" x14ac:dyDescent="0.35">
      <c r="A39">
        <v>2037</v>
      </c>
      <c r="B39" s="4">
        <v>45344</v>
      </c>
      <c r="C39" t="s">
        <v>27</v>
      </c>
      <c r="D39" t="s">
        <v>14</v>
      </c>
      <c r="E39" t="s">
        <v>15</v>
      </c>
      <c r="F39" t="s">
        <v>16</v>
      </c>
      <c r="G39" t="s">
        <v>31</v>
      </c>
      <c r="H39">
        <v>2</v>
      </c>
      <c r="I39" s="5">
        <v>69614</v>
      </c>
      <c r="J39" s="5">
        <v>139228</v>
      </c>
      <c r="K39" s="5">
        <v>95975.6</v>
      </c>
      <c r="L39" s="5">
        <v>43252.4</v>
      </c>
      <c r="M39" s="6">
        <f t="shared" si="0"/>
        <v>0.31065877553365706</v>
      </c>
    </row>
    <row r="40" spans="1:13" x14ac:dyDescent="0.35">
      <c r="A40">
        <v>2038</v>
      </c>
      <c r="B40" s="4">
        <v>45604</v>
      </c>
      <c r="C40" t="s">
        <v>22</v>
      </c>
      <c r="D40" t="s">
        <v>33</v>
      </c>
      <c r="E40" t="s">
        <v>41</v>
      </c>
      <c r="F40" t="s">
        <v>16</v>
      </c>
      <c r="G40" t="s">
        <v>21</v>
      </c>
      <c r="H40">
        <v>1</v>
      </c>
      <c r="I40" s="5">
        <v>70845</v>
      </c>
      <c r="J40" s="5">
        <v>70845</v>
      </c>
      <c r="K40" s="5">
        <v>58931.69</v>
      </c>
      <c r="L40" s="5">
        <v>11913.31</v>
      </c>
      <c r="M40" s="6">
        <f t="shared" si="0"/>
        <v>0.16816020890676828</v>
      </c>
    </row>
    <row r="41" spans="1:13" x14ac:dyDescent="0.35">
      <c r="A41">
        <v>2039</v>
      </c>
      <c r="B41" s="4">
        <v>45335</v>
      </c>
      <c r="C41" t="s">
        <v>37</v>
      </c>
      <c r="D41" t="s">
        <v>14</v>
      </c>
      <c r="E41" t="s">
        <v>15</v>
      </c>
      <c r="F41" t="s">
        <v>16</v>
      </c>
      <c r="G41" t="s">
        <v>39</v>
      </c>
      <c r="H41">
        <v>1</v>
      </c>
      <c r="I41" s="5">
        <v>58926</v>
      </c>
      <c r="J41" s="5">
        <v>58926</v>
      </c>
      <c r="K41" s="5">
        <v>47521.5</v>
      </c>
      <c r="L41" s="5">
        <v>11404.5</v>
      </c>
      <c r="M41" s="6">
        <f t="shared" si="0"/>
        <v>0.19353935444455758</v>
      </c>
    </row>
    <row r="42" spans="1:13" x14ac:dyDescent="0.35">
      <c r="A42">
        <v>2040</v>
      </c>
      <c r="B42" s="4">
        <v>45514</v>
      </c>
      <c r="C42" t="s">
        <v>22</v>
      </c>
      <c r="D42" t="s">
        <v>33</v>
      </c>
      <c r="E42" t="s">
        <v>41</v>
      </c>
      <c r="F42" t="s">
        <v>16</v>
      </c>
      <c r="G42" t="s">
        <v>31</v>
      </c>
      <c r="H42">
        <v>3</v>
      </c>
      <c r="I42" s="5">
        <v>19370</v>
      </c>
      <c r="J42" s="5">
        <v>58110</v>
      </c>
      <c r="K42" s="5">
        <v>47078.67</v>
      </c>
      <c r="L42" s="5">
        <v>11031.33</v>
      </c>
      <c r="M42" s="6">
        <f t="shared" si="0"/>
        <v>0.18983531233866804</v>
      </c>
    </row>
    <row r="43" spans="1:13" x14ac:dyDescent="0.35">
      <c r="A43">
        <v>2041</v>
      </c>
      <c r="B43" s="4">
        <v>45335</v>
      </c>
      <c r="C43" t="s">
        <v>22</v>
      </c>
      <c r="D43" t="s">
        <v>23</v>
      </c>
      <c r="E43" t="s">
        <v>24</v>
      </c>
      <c r="F43" t="s">
        <v>25</v>
      </c>
      <c r="G43" t="s">
        <v>17</v>
      </c>
      <c r="H43">
        <v>2</v>
      </c>
      <c r="I43" s="5">
        <v>30282</v>
      </c>
      <c r="J43" s="5">
        <v>60564</v>
      </c>
      <c r="K43" s="5">
        <v>51395.97</v>
      </c>
      <c r="L43" s="5">
        <v>9168.0300000000007</v>
      </c>
      <c r="M43" s="6">
        <f t="shared" si="0"/>
        <v>0.15137755102040817</v>
      </c>
    </row>
    <row r="44" spans="1:13" x14ac:dyDescent="0.35">
      <c r="A44">
        <v>2042</v>
      </c>
      <c r="B44" s="4">
        <v>45530</v>
      </c>
      <c r="C44" t="s">
        <v>13</v>
      </c>
      <c r="D44" t="s">
        <v>19</v>
      </c>
      <c r="E44" t="s">
        <v>44</v>
      </c>
      <c r="F44" t="s">
        <v>25</v>
      </c>
      <c r="G44" t="s">
        <v>21</v>
      </c>
      <c r="H44">
        <v>2</v>
      </c>
      <c r="I44" s="5">
        <v>70174</v>
      </c>
      <c r="J44" s="5">
        <v>140348</v>
      </c>
      <c r="K44" s="5">
        <v>109675.46</v>
      </c>
      <c r="L44" s="5">
        <v>30672.54</v>
      </c>
      <c r="M44" s="6">
        <f t="shared" si="0"/>
        <v>0.21854632769971785</v>
      </c>
    </row>
    <row r="45" spans="1:13" x14ac:dyDescent="0.35">
      <c r="A45">
        <v>2043</v>
      </c>
      <c r="B45" s="4">
        <v>45572</v>
      </c>
      <c r="C45" t="s">
        <v>13</v>
      </c>
      <c r="D45" t="s">
        <v>14</v>
      </c>
      <c r="E45" t="s">
        <v>15</v>
      </c>
      <c r="F45" t="s">
        <v>16</v>
      </c>
      <c r="G45" t="s">
        <v>21</v>
      </c>
      <c r="H45">
        <v>2</v>
      </c>
      <c r="I45" s="5">
        <v>10804</v>
      </c>
      <c r="J45" s="5">
        <v>21608</v>
      </c>
      <c r="K45" s="5">
        <v>14106.75</v>
      </c>
      <c r="L45" s="5">
        <v>7501.25</v>
      </c>
      <c r="M45" s="6">
        <f t="shared" si="0"/>
        <v>0.34715151795631249</v>
      </c>
    </row>
    <row r="46" spans="1:13" x14ac:dyDescent="0.35">
      <c r="A46">
        <v>2044</v>
      </c>
      <c r="B46" s="4">
        <v>45363</v>
      </c>
      <c r="C46" t="s">
        <v>32</v>
      </c>
      <c r="D46" t="s">
        <v>19</v>
      </c>
      <c r="E46" t="s">
        <v>20</v>
      </c>
      <c r="F46" t="s">
        <v>16</v>
      </c>
      <c r="G46" t="s">
        <v>39</v>
      </c>
      <c r="H46">
        <v>4</v>
      </c>
      <c r="I46" s="5">
        <v>33533</v>
      </c>
      <c r="J46" s="5">
        <v>134132</v>
      </c>
      <c r="K46" s="5">
        <v>109348.57</v>
      </c>
      <c r="L46" s="5">
        <v>24783.43</v>
      </c>
      <c r="M46" s="6">
        <f t="shared" si="0"/>
        <v>0.18476895893597353</v>
      </c>
    </row>
    <row r="47" spans="1:13" x14ac:dyDescent="0.35">
      <c r="A47">
        <v>2045</v>
      </c>
      <c r="B47" s="4">
        <v>45400</v>
      </c>
      <c r="C47" t="s">
        <v>27</v>
      </c>
      <c r="D47" t="s">
        <v>33</v>
      </c>
      <c r="E47" t="s">
        <v>41</v>
      </c>
      <c r="F47" t="s">
        <v>16</v>
      </c>
      <c r="G47" t="s">
        <v>36</v>
      </c>
      <c r="H47">
        <v>3</v>
      </c>
      <c r="I47" s="5">
        <v>73688</v>
      </c>
      <c r="J47" s="5">
        <v>221064</v>
      </c>
      <c r="K47" s="5">
        <v>154326.51999999999</v>
      </c>
      <c r="L47" s="5">
        <v>66737.48</v>
      </c>
      <c r="M47" s="6">
        <f t="shared" si="0"/>
        <v>0.30189212173850105</v>
      </c>
    </row>
    <row r="48" spans="1:13" x14ac:dyDescent="0.35">
      <c r="A48">
        <v>2046</v>
      </c>
      <c r="B48" s="4">
        <v>45570</v>
      </c>
      <c r="C48" t="s">
        <v>18</v>
      </c>
      <c r="D48" t="s">
        <v>28</v>
      </c>
      <c r="E48" t="s">
        <v>29</v>
      </c>
      <c r="F48" t="s">
        <v>30</v>
      </c>
      <c r="G48" t="s">
        <v>36</v>
      </c>
      <c r="H48">
        <v>4</v>
      </c>
      <c r="I48" s="5">
        <v>25180</v>
      </c>
      <c r="J48" s="5">
        <v>100720</v>
      </c>
      <c r="K48" s="5">
        <v>66694.86</v>
      </c>
      <c r="L48" s="5">
        <v>34025.14</v>
      </c>
      <c r="M48" s="6">
        <f t="shared" si="0"/>
        <v>0.33781910246227165</v>
      </c>
    </row>
    <row r="49" spans="1:13" x14ac:dyDescent="0.35">
      <c r="A49">
        <v>2047</v>
      </c>
      <c r="B49" s="4">
        <v>45590</v>
      </c>
      <c r="C49" t="s">
        <v>22</v>
      </c>
      <c r="D49" t="s">
        <v>14</v>
      </c>
      <c r="E49" t="s">
        <v>15</v>
      </c>
      <c r="F49" t="s">
        <v>16</v>
      </c>
      <c r="G49" t="s">
        <v>39</v>
      </c>
      <c r="H49">
        <v>5</v>
      </c>
      <c r="I49" s="5">
        <v>63132</v>
      </c>
      <c r="J49" s="5">
        <v>315660</v>
      </c>
      <c r="K49" s="5">
        <v>257397.98</v>
      </c>
      <c r="L49" s="5">
        <v>58262.02</v>
      </c>
      <c r="M49" s="6">
        <f t="shared" si="0"/>
        <v>0.18457207121586516</v>
      </c>
    </row>
    <row r="50" spans="1:13" x14ac:dyDescent="0.35">
      <c r="A50">
        <v>2048</v>
      </c>
      <c r="B50" s="4">
        <v>45369</v>
      </c>
      <c r="C50" t="s">
        <v>13</v>
      </c>
      <c r="D50" t="s">
        <v>42</v>
      </c>
      <c r="E50" t="s">
        <v>43</v>
      </c>
      <c r="F50" t="s">
        <v>25</v>
      </c>
      <c r="G50" t="s">
        <v>21</v>
      </c>
      <c r="H50">
        <v>5</v>
      </c>
      <c r="I50" s="5">
        <v>74918</v>
      </c>
      <c r="J50" s="5">
        <v>374590</v>
      </c>
      <c r="K50" s="5">
        <v>244884.83</v>
      </c>
      <c r="L50" s="5">
        <v>129705.17</v>
      </c>
      <c r="M50" s="6">
        <f t="shared" si="0"/>
        <v>0.34625902987266077</v>
      </c>
    </row>
    <row r="51" spans="1:13" x14ac:dyDescent="0.35">
      <c r="A51">
        <v>2049</v>
      </c>
      <c r="B51" s="4">
        <v>45603</v>
      </c>
      <c r="C51" t="s">
        <v>37</v>
      </c>
      <c r="D51" t="s">
        <v>23</v>
      </c>
      <c r="E51" t="s">
        <v>38</v>
      </c>
      <c r="F51" t="s">
        <v>25</v>
      </c>
      <c r="G51" t="s">
        <v>31</v>
      </c>
      <c r="H51">
        <v>1</v>
      </c>
      <c r="I51" s="5">
        <v>27634</v>
      </c>
      <c r="J51" s="5">
        <v>27634</v>
      </c>
      <c r="K51" s="5">
        <v>18914.63</v>
      </c>
      <c r="L51" s="5">
        <v>8719.3700000000008</v>
      </c>
      <c r="M51" s="6">
        <f t="shared" si="0"/>
        <v>0.31553050589853082</v>
      </c>
    </row>
    <row r="52" spans="1:13" x14ac:dyDescent="0.35">
      <c r="A52">
        <v>2050</v>
      </c>
      <c r="B52" s="4">
        <v>45353</v>
      </c>
      <c r="C52" t="s">
        <v>32</v>
      </c>
      <c r="D52" t="s">
        <v>23</v>
      </c>
      <c r="E52" t="s">
        <v>38</v>
      </c>
      <c r="F52" t="s">
        <v>25</v>
      </c>
      <c r="G52" t="s">
        <v>39</v>
      </c>
      <c r="H52">
        <v>5</v>
      </c>
      <c r="I52" s="5">
        <v>16094</v>
      </c>
      <c r="J52" s="5">
        <v>80470</v>
      </c>
      <c r="K52" s="5">
        <v>57551.86</v>
      </c>
      <c r="L52" s="5">
        <v>22918.14</v>
      </c>
      <c r="M52" s="6">
        <f t="shared" si="0"/>
        <v>0.28480352926556479</v>
      </c>
    </row>
    <row r="53" spans="1:13" x14ac:dyDescent="0.35">
      <c r="A53">
        <v>2051</v>
      </c>
      <c r="B53" s="4">
        <v>45539</v>
      </c>
      <c r="C53" t="s">
        <v>32</v>
      </c>
      <c r="D53" t="s">
        <v>42</v>
      </c>
      <c r="E53" t="s">
        <v>43</v>
      </c>
      <c r="F53" t="s">
        <v>25</v>
      </c>
      <c r="G53" t="s">
        <v>21</v>
      </c>
      <c r="H53">
        <v>1</v>
      </c>
      <c r="I53" s="5">
        <v>15447</v>
      </c>
      <c r="J53" s="5">
        <v>15447</v>
      </c>
      <c r="K53" s="5">
        <v>10808.25</v>
      </c>
      <c r="L53" s="5">
        <v>4638.75</v>
      </c>
      <c r="M53" s="6">
        <f t="shared" si="0"/>
        <v>0.30030102932608271</v>
      </c>
    </row>
    <row r="54" spans="1:13" x14ac:dyDescent="0.35">
      <c r="A54">
        <v>2052</v>
      </c>
      <c r="B54" s="4">
        <v>45551</v>
      </c>
      <c r="C54" t="s">
        <v>27</v>
      </c>
      <c r="D54" t="s">
        <v>14</v>
      </c>
      <c r="E54" t="s">
        <v>40</v>
      </c>
      <c r="F54" t="s">
        <v>25</v>
      </c>
      <c r="G54" t="s">
        <v>26</v>
      </c>
      <c r="H54">
        <v>4</v>
      </c>
      <c r="I54" s="5">
        <v>11652</v>
      </c>
      <c r="J54" s="5">
        <v>46608</v>
      </c>
      <c r="K54" s="5">
        <v>37379.550000000003</v>
      </c>
      <c r="L54" s="5">
        <v>9228.4500000000007</v>
      </c>
      <c r="M54" s="6">
        <f t="shared" si="0"/>
        <v>0.19800141606591146</v>
      </c>
    </row>
    <row r="55" spans="1:13" x14ac:dyDescent="0.35">
      <c r="A55">
        <v>2053</v>
      </c>
      <c r="B55" s="4">
        <v>45605</v>
      </c>
      <c r="C55" t="s">
        <v>22</v>
      </c>
      <c r="D55" t="s">
        <v>19</v>
      </c>
      <c r="E55" t="s">
        <v>20</v>
      </c>
      <c r="F55" t="s">
        <v>16</v>
      </c>
      <c r="G55" t="s">
        <v>36</v>
      </c>
      <c r="H55">
        <v>5</v>
      </c>
      <c r="I55" s="5">
        <v>75130</v>
      </c>
      <c r="J55" s="5">
        <v>375650</v>
      </c>
      <c r="K55" s="5">
        <v>259153.66</v>
      </c>
      <c r="L55" s="5">
        <v>116496.34</v>
      </c>
      <c r="M55" s="6">
        <f t="shared" si="0"/>
        <v>0.31011936643151872</v>
      </c>
    </row>
    <row r="56" spans="1:13" x14ac:dyDescent="0.35">
      <c r="A56">
        <v>2054</v>
      </c>
      <c r="B56" s="4">
        <v>45565</v>
      </c>
      <c r="C56" t="s">
        <v>22</v>
      </c>
      <c r="D56" t="s">
        <v>14</v>
      </c>
      <c r="E56" t="s">
        <v>40</v>
      </c>
      <c r="F56" t="s">
        <v>25</v>
      </c>
      <c r="G56" t="s">
        <v>21</v>
      </c>
      <c r="H56">
        <v>4</v>
      </c>
      <c r="I56" s="5">
        <v>74552</v>
      </c>
      <c r="J56" s="5">
        <v>298208</v>
      </c>
      <c r="K56" s="5">
        <v>249987.83</v>
      </c>
      <c r="L56" s="5">
        <v>48220.17</v>
      </c>
      <c r="M56" s="6">
        <f t="shared" si="0"/>
        <v>0.16169978672604357</v>
      </c>
    </row>
    <row r="57" spans="1:13" x14ac:dyDescent="0.35">
      <c r="A57">
        <v>2055</v>
      </c>
      <c r="B57" s="4">
        <v>45395</v>
      </c>
      <c r="C57" t="s">
        <v>18</v>
      </c>
      <c r="D57" t="s">
        <v>42</v>
      </c>
      <c r="E57" t="s">
        <v>43</v>
      </c>
      <c r="F57" t="s">
        <v>25</v>
      </c>
      <c r="G57" t="s">
        <v>21</v>
      </c>
      <c r="H57">
        <v>4</v>
      </c>
      <c r="I57" s="5">
        <v>25974</v>
      </c>
      <c r="J57" s="5">
        <v>103896</v>
      </c>
      <c r="K57" s="5">
        <v>76189.78</v>
      </c>
      <c r="L57" s="5">
        <v>27706.22</v>
      </c>
      <c r="M57" s="6">
        <f t="shared" si="0"/>
        <v>0.2666726341726342</v>
      </c>
    </row>
    <row r="58" spans="1:13" x14ac:dyDescent="0.35">
      <c r="A58">
        <v>2056</v>
      </c>
      <c r="B58" s="4">
        <v>45329</v>
      </c>
      <c r="C58" t="s">
        <v>22</v>
      </c>
      <c r="D58" t="s">
        <v>23</v>
      </c>
      <c r="E58" t="s">
        <v>24</v>
      </c>
      <c r="F58" t="s">
        <v>25</v>
      </c>
      <c r="G58" t="s">
        <v>36</v>
      </c>
      <c r="H58">
        <v>2</v>
      </c>
      <c r="I58" s="5">
        <v>64143</v>
      </c>
      <c r="J58" s="5">
        <v>128286</v>
      </c>
      <c r="K58" s="5">
        <v>85261.97</v>
      </c>
      <c r="L58" s="5">
        <v>43024.03</v>
      </c>
      <c r="M58" s="6">
        <f t="shared" si="0"/>
        <v>0.33537587889559267</v>
      </c>
    </row>
    <row r="59" spans="1:13" x14ac:dyDescent="0.35">
      <c r="A59">
        <v>2057</v>
      </c>
      <c r="B59" s="4">
        <v>45371</v>
      </c>
      <c r="C59" t="s">
        <v>37</v>
      </c>
      <c r="D59" t="s">
        <v>14</v>
      </c>
      <c r="E59" t="s">
        <v>40</v>
      </c>
      <c r="F59" t="s">
        <v>25</v>
      </c>
      <c r="G59" t="s">
        <v>26</v>
      </c>
      <c r="H59">
        <v>3</v>
      </c>
      <c r="I59" s="5">
        <v>26740</v>
      </c>
      <c r="J59" s="5">
        <v>80220</v>
      </c>
      <c r="K59" s="5">
        <v>56203.86</v>
      </c>
      <c r="L59" s="5">
        <v>24016.14</v>
      </c>
      <c r="M59" s="6">
        <f t="shared" si="0"/>
        <v>0.29937845923709799</v>
      </c>
    </row>
    <row r="60" spans="1:13" x14ac:dyDescent="0.35">
      <c r="A60">
        <v>2058</v>
      </c>
      <c r="B60" s="4">
        <v>45340</v>
      </c>
      <c r="C60" t="s">
        <v>22</v>
      </c>
      <c r="D60" t="s">
        <v>33</v>
      </c>
      <c r="E60" t="s">
        <v>34</v>
      </c>
      <c r="F60" t="s">
        <v>25</v>
      </c>
      <c r="G60" t="s">
        <v>31</v>
      </c>
      <c r="H60">
        <v>4</v>
      </c>
      <c r="I60" s="5">
        <v>71866</v>
      </c>
      <c r="J60" s="5">
        <v>287464</v>
      </c>
      <c r="K60" s="5">
        <v>196211.15</v>
      </c>
      <c r="L60" s="5">
        <v>91252.85</v>
      </c>
      <c r="M60" s="6">
        <f t="shared" si="0"/>
        <v>0.31744096652102527</v>
      </c>
    </row>
    <row r="61" spans="1:13" x14ac:dyDescent="0.35">
      <c r="A61">
        <v>2059</v>
      </c>
      <c r="B61" s="4">
        <v>45512</v>
      </c>
      <c r="C61" t="s">
        <v>13</v>
      </c>
      <c r="D61" t="s">
        <v>33</v>
      </c>
      <c r="E61" t="s">
        <v>41</v>
      </c>
      <c r="F61" t="s">
        <v>16</v>
      </c>
      <c r="G61" t="s">
        <v>39</v>
      </c>
      <c r="H61">
        <v>5</v>
      </c>
      <c r="I61" s="5">
        <v>60928</v>
      </c>
      <c r="J61" s="5">
        <v>304640</v>
      </c>
      <c r="K61" s="5">
        <v>218677.67</v>
      </c>
      <c r="L61" s="5">
        <v>85962.33</v>
      </c>
      <c r="M61" s="6">
        <f t="shared" si="0"/>
        <v>0.28217676601890757</v>
      </c>
    </row>
    <row r="62" spans="1:13" x14ac:dyDescent="0.35">
      <c r="A62">
        <v>2060</v>
      </c>
      <c r="B62" s="4">
        <v>45339</v>
      </c>
      <c r="C62" t="s">
        <v>18</v>
      </c>
      <c r="D62" t="s">
        <v>33</v>
      </c>
      <c r="E62" t="s">
        <v>41</v>
      </c>
      <c r="F62" t="s">
        <v>16</v>
      </c>
      <c r="G62" t="s">
        <v>36</v>
      </c>
      <c r="H62">
        <v>3</v>
      </c>
      <c r="I62" s="5">
        <v>10553</v>
      </c>
      <c r="J62" s="5">
        <v>31659</v>
      </c>
      <c r="K62" s="5">
        <v>22718.37</v>
      </c>
      <c r="L62" s="5">
        <v>8940.6299999999992</v>
      </c>
      <c r="M62" s="6">
        <f t="shared" si="0"/>
        <v>0.28240405571875293</v>
      </c>
    </row>
    <row r="63" spans="1:13" x14ac:dyDescent="0.35">
      <c r="A63">
        <v>2061</v>
      </c>
      <c r="B63" s="4">
        <v>45301</v>
      </c>
      <c r="C63" t="s">
        <v>22</v>
      </c>
      <c r="D63" t="s">
        <v>23</v>
      </c>
      <c r="E63" t="s">
        <v>38</v>
      </c>
      <c r="F63" t="s">
        <v>25</v>
      </c>
      <c r="G63" t="s">
        <v>39</v>
      </c>
      <c r="H63">
        <v>4</v>
      </c>
      <c r="I63" s="5">
        <v>51450</v>
      </c>
      <c r="J63" s="5">
        <v>205800</v>
      </c>
      <c r="K63" s="5">
        <v>155067.57999999999</v>
      </c>
      <c r="L63" s="5">
        <v>50732.42</v>
      </c>
      <c r="M63" s="6">
        <f t="shared" si="0"/>
        <v>0.24651321671525753</v>
      </c>
    </row>
    <row r="64" spans="1:13" x14ac:dyDescent="0.35">
      <c r="A64">
        <v>2062</v>
      </c>
      <c r="B64" s="4">
        <v>45349</v>
      </c>
      <c r="C64" t="s">
        <v>32</v>
      </c>
      <c r="D64" t="s">
        <v>14</v>
      </c>
      <c r="E64" t="s">
        <v>40</v>
      </c>
      <c r="F64" t="s">
        <v>25</v>
      </c>
      <c r="G64" t="s">
        <v>26</v>
      </c>
      <c r="H64">
        <v>2</v>
      </c>
      <c r="I64" s="5">
        <v>21733</v>
      </c>
      <c r="J64" s="5">
        <v>43466</v>
      </c>
      <c r="K64" s="5">
        <v>28983.66</v>
      </c>
      <c r="L64" s="5">
        <v>14482.34</v>
      </c>
      <c r="M64" s="6">
        <f t="shared" si="0"/>
        <v>0.33318777895366491</v>
      </c>
    </row>
    <row r="65" spans="1:13" x14ac:dyDescent="0.35">
      <c r="A65">
        <v>2063</v>
      </c>
      <c r="B65" s="4">
        <v>45430</v>
      </c>
      <c r="C65" t="s">
        <v>27</v>
      </c>
      <c r="D65" t="s">
        <v>14</v>
      </c>
      <c r="E65" t="s">
        <v>40</v>
      </c>
      <c r="F65" t="s">
        <v>25</v>
      </c>
      <c r="G65" t="s">
        <v>31</v>
      </c>
      <c r="H65">
        <v>2</v>
      </c>
      <c r="I65" s="5">
        <v>63345</v>
      </c>
      <c r="J65" s="5">
        <v>126690</v>
      </c>
      <c r="K65" s="5">
        <v>103875.36</v>
      </c>
      <c r="L65" s="5">
        <v>22814.639999999999</v>
      </c>
      <c r="M65" s="6">
        <f t="shared" si="0"/>
        <v>0.18008240587260241</v>
      </c>
    </row>
    <row r="66" spans="1:13" x14ac:dyDescent="0.35">
      <c r="A66">
        <v>2064</v>
      </c>
      <c r="B66" s="4">
        <v>45566</v>
      </c>
      <c r="C66" t="s">
        <v>22</v>
      </c>
      <c r="D66" t="s">
        <v>14</v>
      </c>
      <c r="E66" t="s">
        <v>40</v>
      </c>
      <c r="F66" t="s">
        <v>25</v>
      </c>
      <c r="G66" t="s">
        <v>31</v>
      </c>
      <c r="H66">
        <v>5</v>
      </c>
      <c r="I66" s="5">
        <v>72829</v>
      </c>
      <c r="J66" s="5">
        <v>364145</v>
      </c>
      <c r="K66" s="5">
        <v>287704.95</v>
      </c>
      <c r="L66" s="5">
        <v>76440.05</v>
      </c>
      <c r="M66" s="6">
        <f t="shared" si="0"/>
        <v>0.20991651677216494</v>
      </c>
    </row>
    <row r="67" spans="1:13" x14ac:dyDescent="0.35">
      <c r="A67">
        <v>2065</v>
      </c>
      <c r="B67" s="4">
        <v>45644</v>
      </c>
      <c r="C67" t="s">
        <v>18</v>
      </c>
      <c r="D67" t="s">
        <v>19</v>
      </c>
      <c r="E67" t="s">
        <v>20</v>
      </c>
      <c r="F67" t="s">
        <v>16</v>
      </c>
      <c r="G67" t="s">
        <v>26</v>
      </c>
      <c r="H67">
        <v>2</v>
      </c>
      <c r="I67" s="5">
        <v>63747</v>
      </c>
      <c r="J67" s="5">
        <v>127494</v>
      </c>
      <c r="K67" s="5">
        <v>105699.8</v>
      </c>
      <c r="L67" s="5">
        <v>21794.2</v>
      </c>
      <c r="M67" s="6">
        <f t="shared" ref="M67:M130" si="1">L67/J67</f>
        <v>0.17094294633472948</v>
      </c>
    </row>
    <row r="68" spans="1:13" x14ac:dyDescent="0.35">
      <c r="A68">
        <v>2066</v>
      </c>
      <c r="B68" s="4">
        <v>45337</v>
      </c>
      <c r="C68" t="s">
        <v>27</v>
      </c>
      <c r="D68" t="s">
        <v>14</v>
      </c>
      <c r="E68" t="s">
        <v>40</v>
      </c>
      <c r="F68" t="s">
        <v>25</v>
      </c>
      <c r="G68" t="s">
        <v>39</v>
      </c>
      <c r="H68">
        <v>3</v>
      </c>
      <c r="I68" s="5">
        <v>18976</v>
      </c>
      <c r="J68" s="5">
        <v>56928</v>
      </c>
      <c r="K68" s="5">
        <v>43927.66</v>
      </c>
      <c r="L68" s="5">
        <v>13000.34</v>
      </c>
      <c r="M68" s="6">
        <f t="shared" si="1"/>
        <v>0.22836460089938168</v>
      </c>
    </row>
    <row r="69" spans="1:13" x14ac:dyDescent="0.35">
      <c r="A69">
        <v>2067</v>
      </c>
      <c r="B69" s="4">
        <v>45354</v>
      </c>
      <c r="C69" t="s">
        <v>27</v>
      </c>
      <c r="D69" t="s">
        <v>33</v>
      </c>
      <c r="E69" t="s">
        <v>41</v>
      </c>
      <c r="F69" t="s">
        <v>16</v>
      </c>
      <c r="G69" t="s">
        <v>36</v>
      </c>
      <c r="H69">
        <v>4</v>
      </c>
      <c r="I69" s="5">
        <v>9513</v>
      </c>
      <c r="J69" s="5">
        <v>38052</v>
      </c>
      <c r="K69" s="5">
        <v>27314.880000000001</v>
      </c>
      <c r="L69" s="5">
        <v>10737.12</v>
      </c>
      <c r="M69" s="6">
        <f t="shared" si="1"/>
        <v>0.28216966256701359</v>
      </c>
    </row>
    <row r="70" spans="1:13" x14ac:dyDescent="0.35">
      <c r="A70">
        <v>2068</v>
      </c>
      <c r="B70" s="4">
        <v>45610</v>
      </c>
      <c r="C70" t="s">
        <v>22</v>
      </c>
      <c r="D70" t="s">
        <v>42</v>
      </c>
      <c r="E70" t="s">
        <v>43</v>
      </c>
      <c r="F70" t="s">
        <v>25</v>
      </c>
      <c r="G70" t="s">
        <v>36</v>
      </c>
      <c r="H70">
        <v>2</v>
      </c>
      <c r="I70" s="5">
        <v>13663</v>
      </c>
      <c r="J70" s="5">
        <v>27326</v>
      </c>
      <c r="K70" s="5">
        <v>20641.599999999999</v>
      </c>
      <c r="L70" s="5">
        <v>6684.4</v>
      </c>
      <c r="M70" s="6">
        <f t="shared" si="1"/>
        <v>0.24461684842274756</v>
      </c>
    </row>
    <row r="71" spans="1:13" x14ac:dyDescent="0.35">
      <c r="A71">
        <v>2069</v>
      </c>
      <c r="B71" s="4">
        <v>45426</v>
      </c>
      <c r="C71" t="s">
        <v>27</v>
      </c>
      <c r="D71" t="s">
        <v>33</v>
      </c>
      <c r="E71" t="s">
        <v>41</v>
      </c>
      <c r="F71" t="s">
        <v>16</v>
      </c>
      <c r="G71" t="s">
        <v>31</v>
      </c>
      <c r="H71">
        <v>1</v>
      </c>
      <c r="I71" s="5">
        <v>31743</v>
      </c>
      <c r="J71" s="5">
        <v>31743</v>
      </c>
      <c r="K71" s="5">
        <v>21913.9</v>
      </c>
      <c r="L71" s="5">
        <v>9829.1</v>
      </c>
      <c r="M71" s="6">
        <f t="shared" si="1"/>
        <v>0.30964622121412594</v>
      </c>
    </row>
    <row r="72" spans="1:13" x14ac:dyDescent="0.35">
      <c r="A72">
        <v>2070</v>
      </c>
      <c r="B72" s="4">
        <v>45563</v>
      </c>
      <c r="C72" t="s">
        <v>35</v>
      </c>
      <c r="D72" t="s">
        <v>14</v>
      </c>
      <c r="E72" t="s">
        <v>40</v>
      </c>
      <c r="F72" t="s">
        <v>25</v>
      </c>
      <c r="G72" t="s">
        <v>36</v>
      </c>
      <c r="H72">
        <v>2</v>
      </c>
      <c r="I72" s="5">
        <v>46005</v>
      </c>
      <c r="J72" s="5">
        <v>92010</v>
      </c>
      <c r="K72" s="5">
        <v>68008.03</v>
      </c>
      <c r="L72" s="5">
        <v>24001.97</v>
      </c>
      <c r="M72" s="6">
        <f t="shared" si="1"/>
        <v>0.26086262362786655</v>
      </c>
    </row>
    <row r="73" spans="1:13" x14ac:dyDescent="0.35">
      <c r="A73">
        <v>2071</v>
      </c>
      <c r="B73" s="4">
        <v>45301</v>
      </c>
      <c r="C73" t="s">
        <v>18</v>
      </c>
      <c r="D73" t="s">
        <v>33</v>
      </c>
      <c r="E73" t="s">
        <v>34</v>
      </c>
      <c r="F73" t="s">
        <v>25</v>
      </c>
      <c r="G73" t="s">
        <v>36</v>
      </c>
      <c r="H73">
        <v>3</v>
      </c>
      <c r="I73" s="5">
        <v>12843</v>
      </c>
      <c r="J73" s="5">
        <v>38529</v>
      </c>
      <c r="K73" s="5">
        <v>25162.1</v>
      </c>
      <c r="L73" s="5">
        <v>13366.9</v>
      </c>
      <c r="M73" s="6">
        <f t="shared" si="1"/>
        <v>0.34693088323081317</v>
      </c>
    </row>
    <row r="74" spans="1:13" x14ac:dyDescent="0.35">
      <c r="A74">
        <v>2072</v>
      </c>
      <c r="B74" s="4">
        <v>45555</v>
      </c>
      <c r="C74" t="s">
        <v>32</v>
      </c>
      <c r="D74" t="s">
        <v>42</v>
      </c>
      <c r="E74" t="s">
        <v>43</v>
      </c>
      <c r="F74" t="s">
        <v>25</v>
      </c>
      <c r="G74" t="s">
        <v>31</v>
      </c>
      <c r="H74">
        <v>4</v>
      </c>
      <c r="I74" s="5">
        <v>40201</v>
      </c>
      <c r="J74" s="5">
        <v>160804</v>
      </c>
      <c r="K74" s="5">
        <v>134581.46</v>
      </c>
      <c r="L74" s="5">
        <v>26222.54</v>
      </c>
      <c r="M74" s="6">
        <f t="shared" si="1"/>
        <v>0.16307144100893012</v>
      </c>
    </row>
    <row r="75" spans="1:13" x14ac:dyDescent="0.35">
      <c r="A75">
        <v>2073</v>
      </c>
      <c r="B75" s="4">
        <v>45513</v>
      </c>
      <c r="C75" t="s">
        <v>35</v>
      </c>
      <c r="D75" t="s">
        <v>19</v>
      </c>
      <c r="E75" t="s">
        <v>20</v>
      </c>
      <c r="F75" t="s">
        <v>16</v>
      </c>
      <c r="G75" t="s">
        <v>39</v>
      </c>
      <c r="H75">
        <v>4</v>
      </c>
      <c r="I75" s="5">
        <v>79553</v>
      </c>
      <c r="J75" s="5">
        <v>318212</v>
      </c>
      <c r="K75" s="5">
        <v>259954.63</v>
      </c>
      <c r="L75" s="5">
        <v>58257.37</v>
      </c>
      <c r="M75" s="6">
        <f t="shared" si="1"/>
        <v>0.18307722524606238</v>
      </c>
    </row>
    <row r="76" spans="1:13" x14ac:dyDescent="0.35">
      <c r="A76">
        <v>2074</v>
      </c>
      <c r="B76" s="4">
        <v>45644</v>
      </c>
      <c r="C76" t="s">
        <v>32</v>
      </c>
      <c r="D76" t="s">
        <v>23</v>
      </c>
      <c r="E76" t="s">
        <v>24</v>
      </c>
      <c r="F76" t="s">
        <v>25</v>
      </c>
      <c r="G76" t="s">
        <v>36</v>
      </c>
      <c r="H76">
        <v>2</v>
      </c>
      <c r="I76" s="5">
        <v>38089</v>
      </c>
      <c r="J76" s="5">
        <v>76178</v>
      </c>
      <c r="K76" s="5">
        <v>54737.01</v>
      </c>
      <c r="L76" s="5">
        <v>21440.99</v>
      </c>
      <c r="M76" s="6">
        <f t="shared" si="1"/>
        <v>0.28145908267478803</v>
      </c>
    </row>
    <row r="77" spans="1:13" x14ac:dyDescent="0.35">
      <c r="A77">
        <v>2075</v>
      </c>
      <c r="B77" s="4">
        <v>45319</v>
      </c>
      <c r="C77" t="s">
        <v>22</v>
      </c>
      <c r="D77" t="s">
        <v>33</v>
      </c>
      <c r="E77" t="s">
        <v>34</v>
      </c>
      <c r="F77" t="s">
        <v>25</v>
      </c>
      <c r="G77" t="s">
        <v>36</v>
      </c>
      <c r="H77">
        <v>2</v>
      </c>
      <c r="I77" s="5">
        <v>9868</v>
      </c>
      <c r="J77" s="5">
        <v>19736</v>
      </c>
      <c r="K77" s="5">
        <v>13107.56</v>
      </c>
      <c r="L77" s="5">
        <v>6628.44</v>
      </c>
      <c r="M77" s="6">
        <f t="shared" si="1"/>
        <v>0.33585528982569923</v>
      </c>
    </row>
    <row r="78" spans="1:13" x14ac:dyDescent="0.35">
      <c r="A78">
        <v>2076</v>
      </c>
      <c r="B78" s="4">
        <v>45320</v>
      </c>
      <c r="C78" t="s">
        <v>22</v>
      </c>
      <c r="D78" t="s">
        <v>14</v>
      </c>
      <c r="E78" t="s">
        <v>40</v>
      </c>
      <c r="F78" t="s">
        <v>25</v>
      </c>
      <c r="G78" t="s">
        <v>31</v>
      </c>
      <c r="H78">
        <v>1</v>
      </c>
      <c r="I78" s="5">
        <v>57922</v>
      </c>
      <c r="J78" s="5">
        <v>57922</v>
      </c>
      <c r="K78" s="5">
        <v>47733.96</v>
      </c>
      <c r="L78" s="5">
        <v>10188.040000000001</v>
      </c>
      <c r="M78" s="6">
        <f t="shared" si="1"/>
        <v>0.175892407030144</v>
      </c>
    </row>
    <row r="79" spans="1:13" x14ac:dyDescent="0.35">
      <c r="A79">
        <v>2077</v>
      </c>
      <c r="B79" s="4">
        <v>45646</v>
      </c>
      <c r="C79" t="s">
        <v>32</v>
      </c>
      <c r="D79" t="s">
        <v>14</v>
      </c>
      <c r="E79" t="s">
        <v>40</v>
      </c>
      <c r="F79" t="s">
        <v>25</v>
      </c>
      <c r="G79" t="s">
        <v>31</v>
      </c>
      <c r="H79">
        <v>3</v>
      </c>
      <c r="I79" s="5">
        <v>13929</v>
      </c>
      <c r="J79" s="5">
        <v>41787</v>
      </c>
      <c r="K79" s="5">
        <v>31001.38</v>
      </c>
      <c r="L79" s="5">
        <v>10785.62</v>
      </c>
      <c r="M79" s="6">
        <f t="shared" si="1"/>
        <v>0.25810945987986694</v>
      </c>
    </row>
    <row r="80" spans="1:13" x14ac:dyDescent="0.35">
      <c r="A80">
        <v>2078</v>
      </c>
      <c r="B80" s="4">
        <v>45293</v>
      </c>
      <c r="C80" t="s">
        <v>18</v>
      </c>
      <c r="D80" t="s">
        <v>33</v>
      </c>
      <c r="E80" t="s">
        <v>34</v>
      </c>
      <c r="F80" t="s">
        <v>25</v>
      </c>
      <c r="G80" t="s">
        <v>17</v>
      </c>
      <c r="H80">
        <v>3</v>
      </c>
      <c r="I80" s="5">
        <v>55728</v>
      </c>
      <c r="J80" s="5">
        <v>167184</v>
      </c>
      <c r="K80" s="5">
        <v>140828.66</v>
      </c>
      <c r="L80" s="5">
        <v>26355.34</v>
      </c>
      <c r="M80" s="6">
        <f t="shared" si="1"/>
        <v>0.15764271700641211</v>
      </c>
    </row>
    <row r="81" spans="1:13" x14ac:dyDescent="0.35">
      <c r="A81">
        <v>2079</v>
      </c>
      <c r="B81" s="4">
        <v>45309</v>
      </c>
      <c r="C81" t="s">
        <v>18</v>
      </c>
      <c r="D81" t="s">
        <v>42</v>
      </c>
      <c r="E81" t="s">
        <v>43</v>
      </c>
      <c r="F81" t="s">
        <v>25</v>
      </c>
      <c r="G81" t="s">
        <v>31</v>
      </c>
      <c r="H81">
        <v>3</v>
      </c>
      <c r="I81" s="5">
        <v>36556</v>
      </c>
      <c r="J81" s="5">
        <v>109668</v>
      </c>
      <c r="K81" s="5">
        <v>79105.37</v>
      </c>
      <c r="L81" s="5">
        <v>30562.63</v>
      </c>
      <c r="M81" s="6">
        <f t="shared" si="1"/>
        <v>0.278683207498997</v>
      </c>
    </row>
    <row r="82" spans="1:13" x14ac:dyDescent="0.35">
      <c r="A82">
        <v>2080</v>
      </c>
      <c r="B82" s="4">
        <v>45334</v>
      </c>
      <c r="C82" t="s">
        <v>18</v>
      </c>
      <c r="D82" t="s">
        <v>19</v>
      </c>
      <c r="E82" t="s">
        <v>44</v>
      </c>
      <c r="F82" t="s">
        <v>25</v>
      </c>
      <c r="G82" t="s">
        <v>17</v>
      </c>
      <c r="H82">
        <v>4</v>
      </c>
      <c r="I82" s="5">
        <v>44559</v>
      </c>
      <c r="J82" s="5">
        <v>178236</v>
      </c>
      <c r="K82" s="5">
        <v>133775.53</v>
      </c>
      <c r="L82" s="5">
        <v>44460.47</v>
      </c>
      <c r="M82" s="6">
        <f t="shared" si="1"/>
        <v>0.24944719360847417</v>
      </c>
    </row>
    <row r="83" spans="1:13" x14ac:dyDescent="0.35">
      <c r="A83">
        <v>2081</v>
      </c>
      <c r="B83" s="4">
        <v>45294</v>
      </c>
      <c r="C83" t="s">
        <v>13</v>
      </c>
      <c r="D83" t="s">
        <v>33</v>
      </c>
      <c r="E83" t="s">
        <v>41</v>
      </c>
      <c r="F83" t="s">
        <v>16</v>
      </c>
      <c r="G83" t="s">
        <v>21</v>
      </c>
      <c r="H83">
        <v>1</v>
      </c>
      <c r="I83" s="5">
        <v>42625</v>
      </c>
      <c r="J83" s="5">
        <v>42625</v>
      </c>
      <c r="K83" s="5">
        <v>34671.550000000003</v>
      </c>
      <c r="L83" s="5">
        <v>7953.45</v>
      </c>
      <c r="M83" s="6">
        <f t="shared" si="1"/>
        <v>0.18659120234604104</v>
      </c>
    </row>
    <row r="84" spans="1:13" x14ac:dyDescent="0.35">
      <c r="A84">
        <v>2082</v>
      </c>
      <c r="B84" s="4">
        <v>45313</v>
      </c>
      <c r="C84" t="s">
        <v>22</v>
      </c>
      <c r="D84" t="s">
        <v>33</v>
      </c>
      <c r="E84" t="s">
        <v>34</v>
      </c>
      <c r="F84" t="s">
        <v>25</v>
      </c>
      <c r="G84" t="s">
        <v>21</v>
      </c>
      <c r="H84">
        <v>4</v>
      </c>
      <c r="I84" s="5">
        <v>10948</v>
      </c>
      <c r="J84" s="5">
        <v>43792</v>
      </c>
      <c r="K84" s="5">
        <v>31089.22</v>
      </c>
      <c r="L84" s="5">
        <v>12702.78</v>
      </c>
      <c r="M84" s="6">
        <f t="shared" si="1"/>
        <v>0.29007078918523932</v>
      </c>
    </row>
    <row r="85" spans="1:13" x14ac:dyDescent="0.35">
      <c r="A85">
        <v>2083</v>
      </c>
      <c r="B85" s="4">
        <v>45562</v>
      </c>
      <c r="C85" t="s">
        <v>27</v>
      </c>
      <c r="D85" t="s">
        <v>33</v>
      </c>
      <c r="E85" t="s">
        <v>41</v>
      </c>
      <c r="F85" t="s">
        <v>16</v>
      </c>
      <c r="G85" t="s">
        <v>21</v>
      </c>
      <c r="H85">
        <v>2</v>
      </c>
      <c r="I85" s="5">
        <v>59054</v>
      </c>
      <c r="J85" s="5">
        <v>118108</v>
      </c>
      <c r="K85" s="5">
        <v>94824.46</v>
      </c>
      <c r="L85" s="5">
        <v>23283.54</v>
      </c>
      <c r="M85" s="6">
        <f t="shared" si="1"/>
        <v>0.19713770447387138</v>
      </c>
    </row>
    <row r="86" spans="1:13" x14ac:dyDescent="0.35">
      <c r="A86">
        <v>2084</v>
      </c>
      <c r="B86" s="4">
        <v>45608</v>
      </c>
      <c r="C86" t="s">
        <v>13</v>
      </c>
      <c r="D86" t="s">
        <v>23</v>
      </c>
      <c r="E86" t="s">
        <v>38</v>
      </c>
      <c r="F86" t="s">
        <v>25</v>
      </c>
      <c r="G86" t="s">
        <v>36</v>
      </c>
      <c r="H86">
        <v>2</v>
      </c>
      <c r="I86" s="5">
        <v>13739</v>
      </c>
      <c r="J86" s="5">
        <v>27478</v>
      </c>
      <c r="K86" s="5">
        <v>22393.78</v>
      </c>
      <c r="L86" s="5">
        <v>5084.22</v>
      </c>
      <c r="M86" s="6">
        <f t="shared" si="1"/>
        <v>0.18502875027294563</v>
      </c>
    </row>
    <row r="87" spans="1:13" x14ac:dyDescent="0.35">
      <c r="A87">
        <v>2085</v>
      </c>
      <c r="B87" s="4">
        <v>45650</v>
      </c>
      <c r="C87" t="s">
        <v>35</v>
      </c>
      <c r="D87" t="s">
        <v>42</v>
      </c>
      <c r="E87" t="s">
        <v>43</v>
      </c>
      <c r="F87" t="s">
        <v>25</v>
      </c>
      <c r="G87" t="s">
        <v>17</v>
      </c>
      <c r="H87">
        <v>5</v>
      </c>
      <c r="I87" s="5">
        <v>26259</v>
      </c>
      <c r="J87" s="5">
        <v>131295</v>
      </c>
      <c r="K87" s="5">
        <v>109234.49</v>
      </c>
      <c r="L87" s="5">
        <v>22060.51</v>
      </c>
      <c r="M87" s="6">
        <f t="shared" si="1"/>
        <v>0.16802246848699492</v>
      </c>
    </row>
    <row r="88" spans="1:13" x14ac:dyDescent="0.35">
      <c r="A88">
        <v>2086</v>
      </c>
      <c r="B88" s="4">
        <v>45643</v>
      </c>
      <c r="C88" t="s">
        <v>32</v>
      </c>
      <c r="D88" t="s">
        <v>42</v>
      </c>
      <c r="E88" t="s">
        <v>43</v>
      </c>
      <c r="F88" t="s">
        <v>25</v>
      </c>
      <c r="G88" t="s">
        <v>26</v>
      </c>
      <c r="H88">
        <v>5</v>
      </c>
      <c r="I88" s="5">
        <v>38138</v>
      </c>
      <c r="J88" s="5">
        <v>190690</v>
      </c>
      <c r="K88" s="5">
        <v>127193.73</v>
      </c>
      <c r="L88" s="5">
        <v>63496.27</v>
      </c>
      <c r="M88" s="6">
        <f t="shared" si="1"/>
        <v>0.33298164560281085</v>
      </c>
    </row>
    <row r="89" spans="1:13" x14ac:dyDescent="0.35">
      <c r="A89">
        <v>2087</v>
      </c>
      <c r="B89" s="4">
        <v>45476</v>
      </c>
      <c r="C89" t="s">
        <v>13</v>
      </c>
      <c r="D89" t="s">
        <v>19</v>
      </c>
      <c r="E89" t="s">
        <v>44</v>
      </c>
      <c r="F89" t="s">
        <v>25</v>
      </c>
      <c r="G89" t="s">
        <v>39</v>
      </c>
      <c r="H89">
        <v>1</v>
      </c>
      <c r="I89" s="5">
        <v>57364</v>
      </c>
      <c r="J89" s="5">
        <v>57364</v>
      </c>
      <c r="K89" s="5">
        <v>46875.81</v>
      </c>
      <c r="L89" s="5">
        <v>10488.19</v>
      </c>
      <c r="M89" s="6">
        <f t="shared" si="1"/>
        <v>0.18283575064500385</v>
      </c>
    </row>
    <row r="90" spans="1:13" x14ac:dyDescent="0.35">
      <c r="A90">
        <v>2088</v>
      </c>
      <c r="B90" s="4">
        <v>45301</v>
      </c>
      <c r="C90" t="s">
        <v>27</v>
      </c>
      <c r="D90" t="s">
        <v>42</v>
      </c>
      <c r="E90" t="s">
        <v>43</v>
      </c>
      <c r="F90" t="s">
        <v>25</v>
      </c>
      <c r="G90" t="s">
        <v>39</v>
      </c>
      <c r="H90">
        <v>5</v>
      </c>
      <c r="I90" s="5">
        <v>40054</v>
      </c>
      <c r="J90" s="5">
        <v>200270</v>
      </c>
      <c r="K90" s="5">
        <v>149773.69</v>
      </c>
      <c r="L90" s="5">
        <v>50496.31</v>
      </c>
      <c r="M90" s="6">
        <f t="shared" si="1"/>
        <v>0.25214115943476306</v>
      </c>
    </row>
    <row r="91" spans="1:13" x14ac:dyDescent="0.35">
      <c r="A91">
        <v>2089</v>
      </c>
      <c r="B91" s="4">
        <v>45549</v>
      </c>
      <c r="C91" t="s">
        <v>22</v>
      </c>
      <c r="D91" t="s">
        <v>19</v>
      </c>
      <c r="E91" t="s">
        <v>44</v>
      </c>
      <c r="F91" t="s">
        <v>25</v>
      </c>
      <c r="G91" t="s">
        <v>26</v>
      </c>
      <c r="H91">
        <v>5</v>
      </c>
      <c r="I91" s="5">
        <v>20051</v>
      </c>
      <c r="J91" s="5">
        <v>100255</v>
      </c>
      <c r="K91" s="5">
        <v>78385.36</v>
      </c>
      <c r="L91" s="5">
        <v>21869.64</v>
      </c>
      <c r="M91" s="6">
        <f t="shared" si="1"/>
        <v>0.21814014263627748</v>
      </c>
    </row>
    <row r="92" spans="1:13" x14ac:dyDescent="0.35">
      <c r="A92">
        <v>2090</v>
      </c>
      <c r="B92" s="4">
        <v>45534</v>
      </c>
      <c r="C92" t="s">
        <v>35</v>
      </c>
      <c r="D92" t="s">
        <v>19</v>
      </c>
      <c r="E92" t="s">
        <v>20</v>
      </c>
      <c r="F92" t="s">
        <v>16</v>
      </c>
      <c r="G92" t="s">
        <v>39</v>
      </c>
      <c r="H92">
        <v>3</v>
      </c>
      <c r="I92" s="5">
        <v>17758</v>
      </c>
      <c r="J92" s="5">
        <v>53274</v>
      </c>
      <c r="K92" s="5">
        <v>43643.48</v>
      </c>
      <c r="L92" s="5">
        <v>9630.52</v>
      </c>
      <c r="M92" s="6">
        <f t="shared" si="1"/>
        <v>0.1807733603634043</v>
      </c>
    </row>
    <row r="93" spans="1:13" x14ac:dyDescent="0.35">
      <c r="A93">
        <v>2091</v>
      </c>
      <c r="B93" s="4">
        <v>45410</v>
      </c>
      <c r="C93" t="s">
        <v>35</v>
      </c>
      <c r="D93" t="s">
        <v>33</v>
      </c>
      <c r="E93" t="s">
        <v>41</v>
      </c>
      <c r="F93" t="s">
        <v>16</v>
      </c>
      <c r="G93" t="s">
        <v>31</v>
      </c>
      <c r="H93">
        <v>4</v>
      </c>
      <c r="I93" s="5">
        <v>72742</v>
      </c>
      <c r="J93" s="5">
        <v>290968</v>
      </c>
      <c r="K93" s="5">
        <v>238333.71</v>
      </c>
      <c r="L93" s="5">
        <v>52634.29</v>
      </c>
      <c r="M93" s="6">
        <f t="shared" si="1"/>
        <v>0.18089374089246929</v>
      </c>
    </row>
    <row r="94" spans="1:13" x14ac:dyDescent="0.35">
      <c r="A94">
        <v>2092</v>
      </c>
      <c r="B94" s="4">
        <v>45439</v>
      </c>
      <c r="C94" t="s">
        <v>22</v>
      </c>
      <c r="D94" t="s">
        <v>19</v>
      </c>
      <c r="E94" t="s">
        <v>20</v>
      </c>
      <c r="F94" t="s">
        <v>16</v>
      </c>
      <c r="G94" t="s">
        <v>39</v>
      </c>
      <c r="H94">
        <v>1</v>
      </c>
      <c r="I94" s="5">
        <v>33990</v>
      </c>
      <c r="J94" s="5">
        <v>33990</v>
      </c>
      <c r="K94" s="5">
        <v>22620.15</v>
      </c>
      <c r="L94" s="5">
        <v>11369.85</v>
      </c>
      <c r="M94" s="6">
        <f t="shared" si="1"/>
        <v>0.33450573698146513</v>
      </c>
    </row>
    <row r="95" spans="1:13" x14ac:dyDescent="0.35">
      <c r="A95">
        <v>2093</v>
      </c>
      <c r="B95" s="4">
        <v>45625</v>
      </c>
      <c r="C95" t="s">
        <v>18</v>
      </c>
      <c r="D95" t="s">
        <v>33</v>
      </c>
      <c r="E95" t="s">
        <v>34</v>
      </c>
      <c r="F95" t="s">
        <v>25</v>
      </c>
      <c r="G95" t="s">
        <v>36</v>
      </c>
      <c r="H95">
        <v>3</v>
      </c>
      <c r="I95" s="5">
        <v>25490</v>
      </c>
      <c r="J95" s="5">
        <v>76470</v>
      </c>
      <c r="K95" s="5">
        <v>49896.2</v>
      </c>
      <c r="L95" s="5">
        <v>26573.8</v>
      </c>
      <c r="M95" s="6">
        <f t="shared" si="1"/>
        <v>0.34750621158624295</v>
      </c>
    </row>
    <row r="96" spans="1:13" x14ac:dyDescent="0.35">
      <c r="A96">
        <v>2094</v>
      </c>
      <c r="B96" s="4">
        <v>45636</v>
      </c>
      <c r="C96" t="s">
        <v>22</v>
      </c>
      <c r="D96" t="s">
        <v>19</v>
      </c>
      <c r="E96" t="s">
        <v>44</v>
      </c>
      <c r="F96" t="s">
        <v>25</v>
      </c>
      <c r="G96" t="s">
        <v>36</v>
      </c>
      <c r="H96">
        <v>1</v>
      </c>
      <c r="I96" s="5">
        <v>36533</v>
      </c>
      <c r="J96" s="5">
        <v>36533</v>
      </c>
      <c r="K96" s="5">
        <v>28683.58</v>
      </c>
      <c r="L96" s="5">
        <v>7849.42</v>
      </c>
      <c r="M96" s="6">
        <f t="shared" si="1"/>
        <v>0.21485834724769387</v>
      </c>
    </row>
    <row r="97" spans="1:13" x14ac:dyDescent="0.35">
      <c r="A97">
        <v>2095</v>
      </c>
      <c r="B97" s="4">
        <v>45438</v>
      </c>
      <c r="C97" t="s">
        <v>35</v>
      </c>
      <c r="D97" t="s">
        <v>14</v>
      </c>
      <c r="E97" t="s">
        <v>40</v>
      </c>
      <c r="F97" t="s">
        <v>25</v>
      </c>
      <c r="G97" t="s">
        <v>21</v>
      </c>
      <c r="H97">
        <v>4</v>
      </c>
      <c r="I97" s="5">
        <v>69066</v>
      </c>
      <c r="J97" s="5">
        <v>276264</v>
      </c>
      <c r="K97" s="5">
        <v>205338.14</v>
      </c>
      <c r="L97" s="5">
        <v>70925.86</v>
      </c>
      <c r="M97" s="6">
        <f t="shared" si="1"/>
        <v>0.25673218370833695</v>
      </c>
    </row>
    <row r="98" spans="1:13" x14ac:dyDescent="0.35">
      <c r="A98">
        <v>2096</v>
      </c>
      <c r="B98" s="4">
        <v>45451</v>
      </c>
      <c r="C98" t="s">
        <v>32</v>
      </c>
      <c r="D98" t="s">
        <v>19</v>
      </c>
      <c r="E98" t="s">
        <v>20</v>
      </c>
      <c r="F98" t="s">
        <v>16</v>
      </c>
      <c r="G98" t="s">
        <v>31</v>
      </c>
      <c r="H98">
        <v>1</v>
      </c>
      <c r="I98" s="5">
        <v>69989</v>
      </c>
      <c r="J98" s="5">
        <v>69989</v>
      </c>
      <c r="K98" s="5">
        <v>45737.87</v>
      </c>
      <c r="L98" s="5">
        <v>24251.13</v>
      </c>
      <c r="M98" s="6">
        <f t="shared" si="1"/>
        <v>0.34649916415436716</v>
      </c>
    </row>
    <row r="99" spans="1:13" x14ac:dyDescent="0.35">
      <c r="A99">
        <v>2097</v>
      </c>
      <c r="B99" s="4">
        <v>45522</v>
      </c>
      <c r="C99" t="s">
        <v>27</v>
      </c>
      <c r="D99" t="s">
        <v>23</v>
      </c>
      <c r="E99" t="s">
        <v>38</v>
      </c>
      <c r="F99" t="s">
        <v>25</v>
      </c>
      <c r="G99" t="s">
        <v>21</v>
      </c>
      <c r="H99">
        <v>3</v>
      </c>
      <c r="I99" s="5">
        <v>58704</v>
      </c>
      <c r="J99" s="5">
        <v>176112</v>
      </c>
      <c r="K99" s="5">
        <v>121863.77</v>
      </c>
      <c r="L99" s="5">
        <v>54248.23</v>
      </c>
      <c r="M99" s="6">
        <f t="shared" si="1"/>
        <v>0.30803255882620151</v>
      </c>
    </row>
    <row r="100" spans="1:13" x14ac:dyDescent="0.35">
      <c r="A100">
        <v>2098</v>
      </c>
      <c r="B100" s="4">
        <v>45338</v>
      </c>
      <c r="C100" t="s">
        <v>27</v>
      </c>
      <c r="D100" t="s">
        <v>33</v>
      </c>
      <c r="E100" t="s">
        <v>41</v>
      </c>
      <c r="F100" t="s">
        <v>16</v>
      </c>
      <c r="G100" t="s">
        <v>21</v>
      </c>
      <c r="H100">
        <v>2</v>
      </c>
      <c r="I100" s="5">
        <v>76690</v>
      </c>
      <c r="J100" s="5">
        <v>153380</v>
      </c>
      <c r="K100" s="5">
        <v>107728.25</v>
      </c>
      <c r="L100" s="5">
        <v>45651.75</v>
      </c>
      <c r="M100" s="6">
        <f t="shared" si="1"/>
        <v>0.29763821880297303</v>
      </c>
    </row>
    <row r="101" spans="1:13" x14ac:dyDescent="0.35">
      <c r="A101">
        <v>2099</v>
      </c>
      <c r="B101" s="4">
        <v>45615</v>
      </c>
      <c r="C101" t="s">
        <v>13</v>
      </c>
      <c r="D101" t="s">
        <v>14</v>
      </c>
      <c r="E101" t="s">
        <v>15</v>
      </c>
      <c r="F101" t="s">
        <v>16</v>
      </c>
      <c r="G101" t="s">
        <v>21</v>
      </c>
      <c r="H101">
        <v>5</v>
      </c>
      <c r="I101" s="5">
        <v>44643</v>
      </c>
      <c r="J101" s="5">
        <v>223215</v>
      </c>
      <c r="K101" s="5">
        <v>184681.94</v>
      </c>
      <c r="L101" s="5">
        <v>38533.06</v>
      </c>
      <c r="M101" s="6">
        <f t="shared" si="1"/>
        <v>0.17262755639181954</v>
      </c>
    </row>
    <row r="102" spans="1:13" x14ac:dyDescent="0.35">
      <c r="A102">
        <v>2100</v>
      </c>
      <c r="B102" s="4">
        <v>45540</v>
      </c>
      <c r="C102" t="s">
        <v>13</v>
      </c>
      <c r="D102" t="s">
        <v>14</v>
      </c>
      <c r="E102" t="s">
        <v>15</v>
      </c>
      <c r="F102" t="s">
        <v>16</v>
      </c>
      <c r="G102" t="s">
        <v>17</v>
      </c>
      <c r="H102">
        <v>4</v>
      </c>
      <c r="I102" s="5">
        <v>11255</v>
      </c>
      <c r="J102" s="5">
        <v>45020</v>
      </c>
      <c r="K102" s="5">
        <v>30695.22</v>
      </c>
      <c r="L102" s="5">
        <v>14324.78</v>
      </c>
      <c r="M102" s="6">
        <f t="shared" si="1"/>
        <v>0.3181870279875611</v>
      </c>
    </row>
    <row r="103" spans="1:13" x14ac:dyDescent="0.35">
      <c r="A103">
        <v>2101</v>
      </c>
      <c r="B103" s="4">
        <v>45499</v>
      </c>
      <c r="C103" t="s">
        <v>35</v>
      </c>
      <c r="D103" t="s">
        <v>23</v>
      </c>
      <c r="E103" t="s">
        <v>38</v>
      </c>
      <c r="F103" t="s">
        <v>25</v>
      </c>
      <c r="G103" t="s">
        <v>17</v>
      </c>
      <c r="H103">
        <v>3</v>
      </c>
      <c r="I103" s="5">
        <v>26442</v>
      </c>
      <c r="J103" s="5">
        <v>79326</v>
      </c>
      <c r="K103" s="5">
        <v>58164.7</v>
      </c>
      <c r="L103" s="5">
        <v>21161.3</v>
      </c>
      <c r="M103" s="6">
        <f t="shared" si="1"/>
        <v>0.26676373446284951</v>
      </c>
    </row>
    <row r="104" spans="1:13" x14ac:dyDescent="0.35">
      <c r="A104">
        <v>2102</v>
      </c>
      <c r="B104" s="4">
        <v>45461</v>
      </c>
      <c r="C104" t="s">
        <v>18</v>
      </c>
      <c r="D104" t="s">
        <v>23</v>
      </c>
      <c r="E104" t="s">
        <v>24</v>
      </c>
      <c r="F104" t="s">
        <v>25</v>
      </c>
      <c r="G104" t="s">
        <v>26</v>
      </c>
      <c r="H104">
        <v>1</v>
      </c>
      <c r="I104" s="5">
        <v>50539</v>
      </c>
      <c r="J104" s="5">
        <v>50539</v>
      </c>
      <c r="K104" s="5">
        <v>40438.620000000003</v>
      </c>
      <c r="L104" s="5">
        <v>10100.379999999999</v>
      </c>
      <c r="M104" s="6">
        <f t="shared" si="1"/>
        <v>0.19985318269059538</v>
      </c>
    </row>
    <row r="105" spans="1:13" x14ac:dyDescent="0.35">
      <c r="A105">
        <v>2103</v>
      </c>
      <c r="B105" s="4">
        <v>45657</v>
      </c>
      <c r="C105" t="s">
        <v>27</v>
      </c>
      <c r="D105" t="s">
        <v>23</v>
      </c>
      <c r="E105" t="s">
        <v>24</v>
      </c>
      <c r="F105" t="s">
        <v>25</v>
      </c>
      <c r="G105" t="s">
        <v>31</v>
      </c>
      <c r="H105">
        <v>1</v>
      </c>
      <c r="I105" s="5">
        <v>45988</v>
      </c>
      <c r="J105" s="5">
        <v>45988</v>
      </c>
      <c r="K105" s="5">
        <v>32221.14</v>
      </c>
      <c r="L105" s="5">
        <v>13766.86</v>
      </c>
      <c r="M105" s="6">
        <f t="shared" si="1"/>
        <v>0.29935765851961382</v>
      </c>
    </row>
    <row r="106" spans="1:13" x14ac:dyDescent="0.35">
      <c r="A106">
        <v>2104</v>
      </c>
      <c r="B106" s="4">
        <v>45593</v>
      </c>
      <c r="C106" t="s">
        <v>22</v>
      </c>
      <c r="D106" t="s">
        <v>19</v>
      </c>
      <c r="E106" t="s">
        <v>20</v>
      </c>
      <c r="F106" t="s">
        <v>16</v>
      </c>
      <c r="G106" t="s">
        <v>17</v>
      </c>
      <c r="H106">
        <v>1</v>
      </c>
      <c r="I106" s="5">
        <v>55278</v>
      </c>
      <c r="J106" s="5">
        <v>55278</v>
      </c>
      <c r="K106" s="5">
        <v>46161.72</v>
      </c>
      <c r="L106" s="5">
        <v>9116.2800000000007</v>
      </c>
      <c r="M106" s="6">
        <f t="shared" si="1"/>
        <v>0.16491696515792903</v>
      </c>
    </row>
    <row r="107" spans="1:13" x14ac:dyDescent="0.35">
      <c r="A107">
        <v>2105</v>
      </c>
      <c r="B107" s="4">
        <v>45435</v>
      </c>
      <c r="C107" t="s">
        <v>37</v>
      </c>
      <c r="D107" t="s">
        <v>14</v>
      </c>
      <c r="E107" t="s">
        <v>40</v>
      </c>
      <c r="F107" t="s">
        <v>25</v>
      </c>
      <c r="G107" t="s">
        <v>26</v>
      </c>
      <c r="H107">
        <v>1</v>
      </c>
      <c r="I107" s="5">
        <v>14765</v>
      </c>
      <c r="J107" s="5">
        <v>14765</v>
      </c>
      <c r="K107" s="5">
        <v>12062.05</v>
      </c>
      <c r="L107" s="5">
        <v>2702.95</v>
      </c>
      <c r="M107" s="6">
        <f t="shared" si="1"/>
        <v>0.18306467998645445</v>
      </c>
    </row>
    <row r="108" spans="1:13" x14ac:dyDescent="0.35">
      <c r="A108">
        <v>2106</v>
      </c>
      <c r="B108" s="4">
        <v>45419</v>
      </c>
      <c r="C108" t="s">
        <v>35</v>
      </c>
      <c r="D108" t="s">
        <v>14</v>
      </c>
      <c r="E108" t="s">
        <v>40</v>
      </c>
      <c r="F108" t="s">
        <v>25</v>
      </c>
      <c r="G108" t="s">
        <v>31</v>
      </c>
      <c r="H108">
        <v>3</v>
      </c>
      <c r="I108" s="5">
        <v>65178</v>
      </c>
      <c r="J108" s="5">
        <v>195534</v>
      </c>
      <c r="K108" s="5">
        <v>147079.23000000001</v>
      </c>
      <c r="L108" s="5">
        <v>48454.77</v>
      </c>
      <c r="M108" s="6">
        <f t="shared" si="1"/>
        <v>0.24780738899628707</v>
      </c>
    </row>
    <row r="109" spans="1:13" x14ac:dyDescent="0.35">
      <c r="A109">
        <v>2107</v>
      </c>
      <c r="B109" s="4">
        <v>45511</v>
      </c>
      <c r="C109" t="s">
        <v>37</v>
      </c>
      <c r="D109" t="s">
        <v>33</v>
      </c>
      <c r="E109" t="s">
        <v>41</v>
      </c>
      <c r="F109" t="s">
        <v>16</v>
      </c>
      <c r="G109" t="s">
        <v>36</v>
      </c>
      <c r="H109">
        <v>1</v>
      </c>
      <c r="I109" s="5">
        <v>60434</v>
      </c>
      <c r="J109" s="5">
        <v>60434</v>
      </c>
      <c r="K109" s="5">
        <v>50322.47</v>
      </c>
      <c r="L109" s="5">
        <v>10111.530000000001</v>
      </c>
      <c r="M109" s="6">
        <f t="shared" si="1"/>
        <v>0.16731525300327632</v>
      </c>
    </row>
    <row r="110" spans="1:13" x14ac:dyDescent="0.35">
      <c r="A110">
        <v>2108</v>
      </c>
      <c r="B110" s="4">
        <v>45333</v>
      </c>
      <c r="C110" t="s">
        <v>32</v>
      </c>
      <c r="D110" t="s">
        <v>42</v>
      </c>
      <c r="E110" t="s">
        <v>43</v>
      </c>
      <c r="F110" t="s">
        <v>25</v>
      </c>
      <c r="G110" t="s">
        <v>31</v>
      </c>
      <c r="H110">
        <v>1</v>
      </c>
      <c r="I110" s="5">
        <v>61855</v>
      </c>
      <c r="J110" s="5">
        <v>61855</v>
      </c>
      <c r="K110" s="5">
        <v>45783.34</v>
      </c>
      <c r="L110" s="5">
        <v>16071.66</v>
      </c>
      <c r="M110" s="6">
        <f t="shared" si="1"/>
        <v>0.25982798480316871</v>
      </c>
    </row>
    <row r="111" spans="1:13" x14ac:dyDescent="0.35">
      <c r="A111">
        <v>2109</v>
      </c>
      <c r="B111" s="4">
        <v>45540</v>
      </c>
      <c r="C111" t="s">
        <v>35</v>
      </c>
      <c r="D111" t="s">
        <v>33</v>
      </c>
      <c r="E111" t="s">
        <v>34</v>
      </c>
      <c r="F111" t="s">
        <v>25</v>
      </c>
      <c r="G111" t="s">
        <v>36</v>
      </c>
      <c r="H111">
        <v>1</v>
      </c>
      <c r="I111" s="5">
        <v>24686</v>
      </c>
      <c r="J111" s="5">
        <v>24686</v>
      </c>
      <c r="K111" s="5">
        <v>16888.990000000002</v>
      </c>
      <c r="L111" s="5">
        <v>7797.01</v>
      </c>
      <c r="M111" s="6">
        <f t="shared" si="1"/>
        <v>0.31584744389532532</v>
      </c>
    </row>
    <row r="112" spans="1:13" x14ac:dyDescent="0.35">
      <c r="A112">
        <v>2110</v>
      </c>
      <c r="B112" s="4">
        <v>45444</v>
      </c>
      <c r="C112" t="s">
        <v>18</v>
      </c>
      <c r="D112" t="s">
        <v>23</v>
      </c>
      <c r="E112" t="s">
        <v>24</v>
      </c>
      <c r="F112" t="s">
        <v>25</v>
      </c>
      <c r="G112" t="s">
        <v>36</v>
      </c>
      <c r="H112">
        <v>3</v>
      </c>
      <c r="I112" s="5">
        <v>42100</v>
      </c>
      <c r="J112" s="5">
        <v>126300</v>
      </c>
      <c r="K112" s="5">
        <v>92355.85</v>
      </c>
      <c r="L112" s="5">
        <v>33944.15</v>
      </c>
      <c r="M112" s="6">
        <f t="shared" si="1"/>
        <v>0.26875811559778306</v>
      </c>
    </row>
    <row r="113" spans="1:13" x14ac:dyDescent="0.35">
      <c r="A113">
        <v>2111</v>
      </c>
      <c r="B113" s="4">
        <v>45577</v>
      </c>
      <c r="C113" t="s">
        <v>18</v>
      </c>
      <c r="D113" t="s">
        <v>33</v>
      </c>
      <c r="E113" t="s">
        <v>41</v>
      </c>
      <c r="F113" t="s">
        <v>16</v>
      </c>
      <c r="G113" t="s">
        <v>17</v>
      </c>
      <c r="H113">
        <v>4</v>
      </c>
      <c r="I113" s="5">
        <v>23694</v>
      </c>
      <c r="J113" s="5">
        <v>94776</v>
      </c>
      <c r="K113" s="5">
        <v>64776.22</v>
      </c>
      <c r="L113" s="5">
        <v>29999.78</v>
      </c>
      <c r="M113" s="6">
        <f t="shared" si="1"/>
        <v>0.31653351059339918</v>
      </c>
    </row>
    <row r="114" spans="1:13" x14ac:dyDescent="0.35">
      <c r="A114">
        <v>2112</v>
      </c>
      <c r="B114" s="4">
        <v>45548</v>
      </c>
      <c r="C114" t="s">
        <v>27</v>
      </c>
      <c r="D114" t="s">
        <v>33</v>
      </c>
      <c r="E114" t="s">
        <v>34</v>
      </c>
      <c r="F114" t="s">
        <v>25</v>
      </c>
      <c r="G114" t="s">
        <v>31</v>
      </c>
      <c r="H114">
        <v>4</v>
      </c>
      <c r="I114" s="5">
        <v>36839</v>
      </c>
      <c r="J114" s="5">
        <v>147356</v>
      </c>
      <c r="K114" s="5">
        <v>109131.44</v>
      </c>
      <c r="L114" s="5">
        <v>38224.559999999998</v>
      </c>
      <c r="M114" s="6">
        <f t="shared" si="1"/>
        <v>0.25940280680800237</v>
      </c>
    </row>
    <row r="115" spans="1:13" x14ac:dyDescent="0.35">
      <c r="A115">
        <v>2113</v>
      </c>
      <c r="B115" s="4">
        <v>45510</v>
      </c>
      <c r="C115" t="s">
        <v>37</v>
      </c>
      <c r="D115" t="s">
        <v>14</v>
      </c>
      <c r="E115" t="s">
        <v>15</v>
      </c>
      <c r="F115" t="s">
        <v>16</v>
      </c>
      <c r="G115" t="s">
        <v>17</v>
      </c>
      <c r="H115">
        <v>2</v>
      </c>
      <c r="I115" s="5">
        <v>79799</v>
      </c>
      <c r="J115" s="5">
        <v>159598</v>
      </c>
      <c r="K115" s="5">
        <v>109880.26</v>
      </c>
      <c r="L115" s="5">
        <v>49717.74</v>
      </c>
      <c r="M115" s="6">
        <f t="shared" si="1"/>
        <v>0.31151856539555633</v>
      </c>
    </row>
    <row r="116" spans="1:13" x14ac:dyDescent="0.35">
      <c r="A116">
        <v>2114</v>
      </c>
      <c r="B116" s="4">
        <v>45576</v>
      </c>
      <c r="C116" t="s">
        <v>13</v>
      </c>
      <c r="D116" t="s">
        <v>19</v>
      </c>
      <c r="E116" t="s">
        <v>20</v>
      </c>
      <c r="F116" t="s">
        <v>16</v>
      </c>
      <c r="G116" t="s">
        <v>36</v>
      </c>
      <c r="H116">
        <v>1</v>
      </c>
      <c r="I116" s="5">
        <v>49849</v>
      </c>
      <c r="J116" s="5">
        <v>49849</v>
      </c>
      <c r="K116" s="5">
        <v>34785.89</v>
      </c>
      <c r="L116" s="5">
        <v>15063.11</v>
      </c>
      <c r="M116" s="6">
        <f t="shared" si="1"/>
        <v>0.30217476779875224</v>
      </c>
    </row>
    <row r="117" spans="1:13" x14ac:dyDescent="0.35">
      <c r="A117">
        <v>2115</v>
      </c>
      <c r="B117" s="4">
        <v>45395</v>
      </c>
      <c r="C117" t="s">
        <v>37</v>
      </c>
      <c r="D117" t="s">
        <v>14</v>
      </c>
      <c r="E117" t="s">
        <v>40</v>
      </c>
      <c r="F117" t="s">
        <v>25</v>
      </c>
      <c r="G117" t="s">
        <v>21</v>
      </c>
      <c r="H117">
        <v>1</v>
      </c>
      <c r="I117" s="5">
        <v>62104</v>
      </c>
      <c r="J117" s="5">
        <v>62104</v>
      </c>
      <c r="K117" s="5">
        <v>45122.75</v>
      </c>
      <c r="L117" s="5">
        <v>16981.25</v>
      </c>
      <c r="M117" s="6">
        <f t="shared" si="1"/>
        <v>0.2734324681179956</v>
      </c>
    </row>
    <row r="118" spans="1:13" x14ac:dyDescent="0.35">
      <c r="A118">
        <v>2116</v>
      </c>
      <c r="B118" s="4">
        <v>45430</v>
      </c>
      <c r="C118" t="s">
        <v>13</v>
      </c>
      <c r="D118" t="s">
        <v>42</v>
      </c>
      <c r="E118" t="s">
        <v>43</v>
      </c>
      <c r="F118" t="s">
        <v>25</v>
      </c>
      <c r="G118" t="s">
        <v>17</v>
      </c>
      <c r="H118">
        <v>3</v>
      </c>
      <c r="I118" s="5">
        <v>16134</v>
      </c>
      <c r="J118" s="5">
        <v>48402</v>
      </c>
      <c r="K118" s="5">
        <v>36283.550000000003</v>
      </c>
      <c r="L118" s="5">
        <v>12118.45</v>
      </c>
      <c r="M118" s="6">
        <f t="shared" si="1"/>
        <v>0.25037085244411389</v>
      </c>
    </row>
    <row r="119" spans="1:13" x14ac:dyDescent="0.35">
      <c r="A119">
        <v>2117</v>
      </c>
      <c r="B119" s="4">
        <v>45643</v>
      </c>
      <c r="C119" t="s">
        <v>18</v>
      </c>
      <c r="D119" t="s">
        <v>28</v>
      </c>
      <c r="E119" t="s">
        <v>29</v>
      </c>
      <c r="F119" t="s">
        <v>30</v>
      </c>
      <c r="G119" t="s">
        <v>31</v>
      </c>
      <c r="H119">
        <v>5</v>
      </c>
      <c r="I119" s="5">
        <v>77366</v>
      </c>
      <c r="J119" s="5">
        <v>386830</v>
      </c>
      <c r="K119" s="5">
        <v>300151.21999999997</v>
      </c>
      <c r="L119" s="5">
        <v>86678.78</v>
      </c>
      <c r="M119" s="6">
        <f t="shared" si="1"/>
        <v>0.22407460641625521</v>
      </c>
    </row>
    <row r="120" spans="1:13" x14ac:dyDescent="0.35">
      <c r="A120">
        <v>2118</v>
      </c>
      <c r="B120" s="4">
        <v>45419</v>
      </c>
      <c r="C120" t="s">
        <v>27</v>
      </c>
      <c r="D120" t="s">
        <v>33</v>
      </c>
      <c r="E120" t="s">
        <v>41</v>
      </c>
      <c r="F120" t="s">
        <v>16</v>
      </c>
      <c r="G120" t="s">
        <v>36</v>
      </c>
      <c r="H120">
        <v>4</v>
      </c>
      <c r="I120" s="5">
        <v>60396</v>
      </c>
      <c r="J120" s="5">
        <v>241584</v>
      </c>
      <c r="K120" s="5">
        <v>188232.19</v>
      </c>
      <c r="L120" s="5">
        <v>53351.81</v>
      </c>
      <c r="M120" s="6">
        <f t="shared" si="1"/>
        <v>0.22084165342075635</v>
      </c>
    </row>
    <row r="121" spans="1:13" x14ac:dyDescent="0.35">
      <c r="A121">
        <v>2119</v>
      </c>
      <c r="B121" s="4">
        <v>45357</v>
      </c>
      <c r="C121" t="s">
        <v>18</v>
      </c>
      <c r="D121" t="s">
        <v>23</v>
      </c>
      <c r="E121" t="s">
        <v>24</v>
      </c>
      <c r="F121" t="s">
        <v>25</v>
      </c>
      <c r="G121" t="s">
        <v>26</v>
      </c>
      <c r="H121">
        <v>1</v>
      </c>
      <c r="I121" s="5">
        <v>63731</v>
      </c>
      <c r="J121" s="5">
        <v>63731</v>
      </c>
      <c r="K121" s="5">
        <v>50468.73</v>
      </c>
      <c r="L121" s="5">
        <v>13262.27</v>
      </c>
      <c r="M121" s="6">
        <f t="shared" si="1"/>
        <v>0.20809762909729959</v>
      </c>
    </row>
    <row r="122" spans="1:13" x14ac:dyDescent="0.35">
      <c r="A122">
        <v>2120</v>
      </c>
      <c r="B122" s="4">
        <v>45292</v>
      </c>
      <c r="C122" t="s">
        <v>32</v>
      </c>
      <c r="D122" t="s">
        <v>23</v>
      </c>
      <c r="E122" t="s">
        <v>38</v>
      </c>
      <c r="F122" t="s">
        <v>25</v>
      </c>
      <c r="G122" t="s">
        <v>17</v>
      </c>
      <c r="H122">
        <v>1</v>
      </c>
      <c r="I122" s="5">
        <v>59317</v>
      </c>
      <c r="J122" s="5">
        <v>59317</v>
      </c>
      <c r="K122" s="5">
        <v>49591.839999999997</v>
      </c>
      <c r="L122" s="5">
        <v>9725.16</v>
      </c>
      <c r="M122" s="6">
        <f t="shared" si="1"/>
        <v>0.16395232395434697</v>
      </c>
    </row>
    <row r="123" spans="1:13" x14ac:dyDescent="0.35">
      <c r="A123">
        <v>2121</v>
      </c>
      <c r="B123" s="4">
        <v>45521</v>
      </c>
      <c r="C123" t="s">
        <v>37</v>
      </c>
      <c r="D123" t="s">
        <v>42</v>
      </c>
      <c r="E123" t="s">
        <v>43</v>
      </c>
      <c r="F123" t="s">
        <v>25</v>
      </c>
      <c r="G123" t="s">
        <v>17</v>
      </c>
      <c r="H123">
        <v>2</v>
      </c>
      <c r="I123" s="5">
        <v>22292</v>
      </c>
      <c r="J123" s="5">
        <v>44584</v>
      </c>
      <c r="K123" s="5">
        <v>30975.18</v>
      </c>
      <c r="L123" s="5">
        <v>13608.82</v>
      </c>
      <c r="M123" s="6">
        <f t="shared" si="1"/>
        <v>0.30523999641126859</v>
      </c>
    </row>
    <row r="124" spans="1:13" x14ac:dyDescent="0.35">
      <c r="A124">
        <v>2122</v>
      </c>
      <c r="B124" s="4">
        <v>45347</v>
      </c>
      <c r="C124" t="s">
        <v>32</v>
      </c>
      <c r="D124" t="s">
        <v>33</v>
      </c>
      <c r="E124" t="s">
        <v>34</v>
      </c>
      <c r="F124" t="s">
        <v>25</v>
      </c>
      <c r="G124" t="s">
        <v>39</v>
      </c>
      <c r="H124">
        <v>4</v>
      </c>
      <c r="I124" s="5">
        <v>19141</v>
      </c>
      <c r="J124" s="5">
        <v>76564</v>
      </c>
      <c r="K124" s="5">
        <v>58211.62</v>
      </c>
      <c r="L124" s="5">
        <v>18352.38</v>
      </c>
      <c r="M124" s="6">
        <f t="shared" si="1"/>
        <v>0.23969985894153911</v>
      </c>
    </row>
    <row r="125" spans="1:13" x14ac:dyDescent="0.35">
      <c r="A125">
        <v>2123</v>
      </c>
      <c r="B125" s="4">
        <v>45411</v>
      </c>
      <c r="C125" t="s">
        <v>27</v>
      </c>
      <c r="D125" t="s">
        <v>19</v>
      </c>
      <c r="E125" t="s">
        <v>44</v>
      </c>
      <c r="F125" t="s">
        <v>25</v>
      </c>
      <c r="G125" t="s">
        <v>31</v>
      </c>
      <c r="H125">
        <v>5</v>
      </c>
      <c r="I125" s="5">
        <v>12927</v>
      </c>
      <c r="J125" s="5">
        <v>64635</v>
      </c>
      <c r="K125" s="5">
        <v>50357.2</v>
      </c>
      <c r="L125" s="5">
        <v>14277.8</v>
      </c>
      <c r="M125" s="6">
        <f t="shared" si="1"/>
        <v>0.22089889378819524</v>
      </c>
    </row>
    <row r="126" spans="1:13" x14ac:dyDescent="0.35">
      <c r="A126">
        <v>2124</v>
      </c>
      <c r="B126" s="4">
        <v>45420</v>
      </c>
      <c r="C126" t="s">
        <v>13</v>
      </c>
      <c r="D126" t="s">
        <v>14</v>
      </c>
      <c r="E126" t="s">
        <v>40</v>
      </c>
      <c r="F126" t="s">
        <v>25</v>
      </c>
      <c r="G126" t="s">
        <v>39</v>
      </c>
      <c r="H126">
        <v>5</v>
      </c>
      <c r="I126" s="5">
        <v>65334</v>
      </c>
      <c r="J126" s="5">
        <v>326670</v>
      </c>
      <c r="K126" s="5">
        <v>257976.65</v>
      </c>
      <c r="L126" s="5">
        <v>68693.350000000006</v>
      </c>
      <c r="M126" s="6">
        <f t="shared" si="1"/>
        <v>0.21028361955490252</v>
      </c>
    </row>
    <row r="127" spans="1:13" x14ac:dyDescent="0.35">
      <c r="A127">
        <v>2125</v>
      </c>
      <c r="B127" s="4">
        <v>45445</v>
      </c>
      <c r="C127" t="s">
        <v>27</v>
      </c>
      <c r="D127" t="s">
        <v>19</v>
      </c>
      <c r="E127" t="s">
        <v>20</v>
      </c>
      <c r="F127" t="s">
        <v>16</v>
      </c>
      <c r="G127" t="s">
        <v>26</v>
      </c>
      <c r="H127">
        <v>5</v>
      </c>
      <c r="I127" s="5">
        <v>33126</v>
      </c>
      <c r="J127" s="5">
        <v>165630</v>
      </c>
      <c r="K127" s="5">
        <v>120515.1</v>
      </c>
      <c r="L127" s="5">
        <v>45114.9</v>
      </c>
      <c r="M127" s="6">
        <f t="shared" si="1"/>
        <v>0.27238362615468215</v>
      </c>
    </row>
    <row r="128" spans="1:13" x14ac:dyDescent="0.35">
      <c r="A128">
        <v>2126</v>
      </c>
      <c r="B128" s="4">
        <v>45292</v>
      </c>
      <c r="C128" t="s">
        <v>37</v>
      </c>
      <c r="D128" t="s">
        <v>33</v>
      </c>
      <c r="E128" t="s">
        <v>41</v>
      </c>
      <c r="F128" t="s">
        <v>16</v>
      </c>
      <c r="G128" t="s">
        <v>21</v>
      </c>
      <c r="H128">
        <v>1</v>
      </c>
      <c r="I128" s="5">
        <v>78448</v>
      </c>
      <c r="J128" s="5">
        <v>78448</v>
      </c>
      <c r="K128" s="5">
        <v>55721.95</v>
      </c>
      <c r="L128" s="5">
        <v>22726.05</v>
      </c>
      <c r="M128" s="6">
        <f t="shared" si="1"/>
        <v>0.2896957220069345</v>
      </c>
    </row>
    <row r="129" spans="1:13" x14ac:dyDescent="0.35">
      <c r="A129">
        <v>2127</v>
      </c>
      <c r="B129" s="4">
        <v>45622</v>
      </c>
      <c r="C129" t="s">
        <v>18</v>
      </c>
      <c r="D129" t="s">
        <v>23</v>
      </c>
      <c r="E129" t="s">
        <v>38</v>
      </c>
      <c r="F129" t="s">
        <v>25</v>
      </c>
      <c r="G129" t="s">
        <v>36</v>
      </c>
      <c r="H129">
        <v>2</v>
      </c>
      <c r="I129" s="5">
        <v>70299</v>
      </c>
      <c r="J129" s="5">
        <v>140598</v>
      </c>
      <c r="K129" s="5">
        <v>106187.42</v>
      </c>
      <c r="L129" s="5">
        <v>34410.58</v>
      </c>
      <c r="M129" s="6">
        <f t="shared" si="1"/>
        <v>0.24474444871193049</v>
      </c>
    </row>
    <row r="130" spans="1:13" x14ac:dyDescent="0.35">
      <c r="A130">
        <v>2128</v>
      </c>
      <c r="B130" s="4">
        <v>45502</v>
      </c>
      <c r="C130" t="s">
        <v>13</v>
      </c>
      <c r="D130" t="s">
        <v>42</v>
      </c>
      <c r="E130" t="s">
        <v>43</v>
      </c>
      <c r="F130" t="s">
        <v>25</v>
      </c>
      <c r="G130" t="s">
        <v>26</v>
      </c>
      <c r="H130">
        <v>3</v>
      </c>
      <c r="I130" s="5">
        <v>15249</v>
      </c>
      <c r="J130" s="5">
        <v>45747</v>
      </c>
      <c r="K130" s="5">
        <v>29934.89</v>
      </c>
      <c r="L130" s="5">
        <v>15812.11</v>
      </c>
      <c r="M130" s="6">
        <f t="shared" si="1"/>
        <v>0.3456425557960085</v>
      </c>
    </row>
    <row r="131" spans="1:13" x14ac:dyDescent="0.35">
      <c r="A131">
        <v>2129</v>
      </c>
      <c r="B131" s="4">
        <v>45507</v>
      </c>
      <c r="C131" t="s">
        <v>35</v>
      </c>
      <c r="D131" t="s">
        <v>23</v>
      </c>
      <c r="E131" t="s">
        <v>38</v>
      </c>
      <c r="F131" t="s">
        <v>25</v>
      </c>
      <c r="G131" t="s">
        <v>39</v>
      </c>
      <c r="H131">
        <v>1</v>
      </c>
      <c r="I131" s="5">
        <v>41719</v>
      </c>
      <c r="J131" s="5">
        <v>41719</v>
      </c>
      <c r="K131" s="5">
        <v>29018.41</v>
      </c>
      <c r="L131" s="5">
        <v>12700.59</v>
      </c>
      <c r="M131" s="6">
        <f t="shared" ref="M131:M194" si="2">L131/J131</f>
        <v>0.30443179366715406</v>
      </c>
    </row>
    <row r="132" spans="1:13" x14ac:dyDescent="0.35">
      <c r="A132">
        <v>2130</v>
      </c>
      <c r="B132" s="4">
        <v>45544</v>
      </c>
      <c r="C132" t="s">
        <v>18</v>
      </c>
      <c r="D132" t="s">
        <v>23</v>
      </c>
      <c r="E132" t="s">
        <v>24</v>
      </c>
      <c r="F132" t="s">
        <v>25</v>
      </c>
      <c r="G132" t="s">
        <v>31</v>
      </c>
      <c r="H132">
        <v>1</v>
      </c>
      <c r="I132" s="5">
        <v>52309</v>
      </c>
      <c r="J132" s="5">
        <v>52309</v>
      </c>
      <c r="K132" s="5">
        <v>41515.9</v>
      </c>
      <c r="L132" s="5">
        <v>10793.1</v>
      </c>
      <c r="M132" s="6">
        <f t="shared" si="2"/>
        <v>0.20633351813263492</v>
      </c>
    </row>
    <row r="133" spans="1:13" x14ac:dyDescent="0.35">
      <c r="A133">
        <v>2131</v>
      </c>
      <c r="B133" s="4">
        <v>45393</v>
      </c>
      <c r="C133" t="s">
        <v>35</v>
      </c>
      <c r="D133" t="s">
        <v>14</v>
      </c>
      <c r="E133" t="s">
        <v>15</v>
      </c>
      <c r="F133" t="s">
        <v>16</v>
      </c>
      <c r="G133" t="s">
        <v>17</v>
      </c>
      <c r="H133">
        <v>1</v>
      </c>
      <c r="I133" s="5">
        <v>46287</v>
      </c>
      <c r="J133" s="5">
        <v>46287</v>
      </c>
      <c r="K133" s="5">
        <v>36928.959999999999</v>
      </c>
      <c r="L133" s="5">
        <v>9358.0400000000009</v>
      </c>
      <c r="M133" s="6">
        <f t="shared" si="2"/>
        <v>0.20217426059152679</v>
      </c>
    </row>
    <row r="134" spans="1:13" x14ac:dyDescent="0.35">
      <c r="A134">
        <v>2132</v>
      </c>
      <c r="B134" s="4">
        <v>45545</v>
      </c>
      <c r="C134" t="s">
        <v>27</v>
      </c>
      <c r="D134" t="s">
        <v>42</v>
      </c>
      <c r="E134" t="s">
        <v>43</v>
      </c>
      <c r="F134" t="s">
        <v>25</v>
      </c>
      <c r="G134" t="s">
        <v>31</v>
      </c>
      <c r="H134">
        <v>2</v>
      </c>
      <c r="I134" s="5">
        <v>48857</v>
      </c>
      <c r="J134" s="5">
        <v>97714</v>
      </c>
      <c r="K134" s="5">
        <v>78481.09</v>
      </c>
      <c r="L134" s="5">
        <v>19232.91</v>
      </c>
      <c r="M134" s="6">
        <f t="shared" si="2"/>
        <v>0.19682860183801706</v>
      </c>
    </row>
    <row r="135" spans="1:13" x14ac:dyDescent="0.35">
      <c r="A135">
        <v>2133</v>
      </c>
      <c r="B135" s="4">
        <v>45405</v>
      </c>
      <c r="C135" t="s">
        <v>13</v>
      </c>
      <c r="D135" t="s">
        <v>33</v>
      </c>
      <c r="E135" t="s">
        <v>41</v>
      </c>
      <c r="F135" t="s">
        <v>16</v>
      </c>
      <c r="G135" t="s">
        <v>17</v>
      </c>
      <c r="H135">
        <v>3</v>
      </c>
      <c r="I135" s="5">
        <v>46657</v>
      </c>
      <c r="J135" s="5">
        <v>139971</v>
      </c>
      <c r="K135" s="5">
        <v>94032.74</v>
      </c>
      <c r="L135" s="5">
        <v>45938.26</v>
      </c>
      <c r="M135" s="6">
        <f t="shared" si="2"/>
        <v>0.32819841252830945</v>
      </c>
    </row>
    <row r="136" spans="1:13" x14ac:dyDescent="0.35">
      <c r="A136">
        <v>2134</v>
      </c>
      <c r="B136" s="4">
        <v>45387</v>
      </c>
      <c r="C136" t="s">
        <v>22</v>
      </c>
      <c r="D136" t="s">
        <v>28</v>
      </c>
      <c r="E136" t="s">
        <v>29</v>
      </c>
      <c r="F136" t="s">
        <v>30</v>
      </c>
      <c r="G136" t="s">
        <v>21</v>
      </c>
      <c r="H136">
        <v>2</v>
      </c>
      <c r="I136" s="5">
        <v>71576</v>
      </c>
      <c r="J136" s="5">
        <v>143152</v>
      </c>
      <c r="K136" s="5">
        <v>104988.51</v>
      </c>
      <c r="L136" s="5">
        <v>38163.49</v>
      </c>
      <c r="M136" s="6">
        <f t="shared" si="2"/>
        <v>0.26659417961327819</v>
      </c>
    </row>
    <row r="137" spans="1:13" x14ac:dyDescent="0.35">
      <c r="A137">
        <v>2135</v>
      </c>
      <c r="B137" s="4">
        <v>45493</v>
      </c>
      <c r="C137" t="s">
        <v>32</v>
      </c>
      <c r="D137" t="s">
        <v>19</v>
      </c>
      <c r="E137" t="s">
        <v>44</v>
      </c>
      <c r="F137" t="s">
        <v>25</v>
      </c>
      <c r="G137" t="s">
        <v>31</v>
      </c>
      <c r="H137">
        <v>1</v>
      </c>
      <c r="I137" s="5">
        <v>35911</v>
      </c>
      <c r="J137" s="5">
        <v>35911</v>
      </c>
      <c r="K137" s="5">
        <v>23511.86</v>
      </c>
      <c r="L137" s="5">
        <v>12399.14</v>
      </c>
      <c r="M137" s="6">
        <f t="shared" si="2"/>
        <v>0.3452741499818997</v>
      </c>
    </row>
    <row r="138" spans="1:13" x14ac:dyDescent="0.35">
      <c r="A138">
        <v>2136</v>
      </c>
      <c r="B138" s="4">
        <v>45318</v>
      </c>
      <c r="C138" t="s">
        <v>13</v>
      </c>
      <c r="D138" t="s">
        <v>28</v>
      </c>
      <c r="E138" t="s">
        <v>29</v>
      </c>
      <c r="F138" t="s">
        <v>30</v>
      </c>
      <c r="G138" t="s">
        <v>17</v>
      </c>
      <c r="H138">
        <v>1</v>
      </c>
      <c r="I138" s="5">
        <v>32130</v>
      </c>
      <c r="J138" s="5">
        <v>32130</v>
      </c>
      <c r="K138" s="5">
        <v>23411.99</v>
      </c>
      <c r="L138" s="5">
        <v>8718.01</v>
      </c>
      <c r="M138" s="6">
        <f t="shared" si="2"/>
        <v>0.27133551198257083</v>
      </c>
    </row>
    <row r="139" spans="1:13" x14ac:dyDescent="0.35">
      <c r="A139">
        <v>2137</v>
      </c>
      <c r="B139" s="4">
        <v>45332</v>
      </c>
      <c r="C139" t="s">
        <v>35</v>
      </c>
      <c r="D139" t="s">
        <v>14</v>
      </c>
      <c r="E139" t="s">
        <v>15</v>
      </c>
      <c r="F139" t="s">
        <v>16</v>
      </c>
      <c r="G139" t="s">
        <v>26</v>
      </c>
      <c r="H139">
        <v>2</v>
      </c>
      <c r="I139" s="5">
        <v>51154</v>
      </c>
      <c r="J139" s="5">
        <v>102308</v>
      </c>
      <c r="K139" s="5">
        <v>70401.89</v>
      </c>
      <c r="L139" s="5">
        <v>31906.11</v>
      </c>
      <c r="M139" s="6">
        <f t="shared" si="2"/>
        <v>0.3118632951479845</v>
      </c>
    </row>
    <row r="140" spans="1:13" x14ac:dyDescent="0.35">
      <c r="A140">
        <v>2138</v>
      </c>
      <c r="B140" s="4">
        <v>45308</v>
      </c>
      <c r="C140" t="s">
        <v>35</v>
      </c>
      <c r="D140" t="s">
        <v>42</v>
      </c>
      <c r="E140" t="s">
        <v>43</v>
      </c>
      <c r="F140" t="s">
        <v>25</v>
      </c>
      <c r="G140" t="s">
        <v>17</v>
      </c>
      <c r="H140">
        <v>3</v>
      </c>
      <c r="I140" s="5">
        <v>57626</v>
      </c>
      <c r="J140" s="5">
        <v>172878</v>
      </c>
      <c r="K140" s="5">
        <v>141384.01999999999</v>
      </c>
      <c r="L140" s="5">
        <v>31493.98</v>
      </c>
      <c r="M140" s="6">
        <f t="shared" si="2"/>
        <v>0.1821745971147283</v>
      </c>
    </row>
    <row r="141" spans="1:13" x14ac:dyDescent="0.35">
      <c r="A141">
        <v>2139</v>
      </c>
      <c r="B141" s="4">
        <v>45347</v>
      </c>
      <c r="C141" t="s">
        <v>22</v>
      </c>
      <c r="D141" t="s">
        <v>14</v>
      </c>
      <c r="E141" t="s">
        <v>15</v>
      </c>
      <c r="F141" t="s">
        <v>16</v>
      </c>
      <c r="G141" t="s">
        <v>31</v>
      </c>
      <c r="H141">
        <v>1</v>
      </c>
      <c r="I141" s="5">
        <v>18255</v>
      </c>
      <c r="J141" s="5">
        <v>18255</v>
      </c>
      <c r="K141" s="5">
        <v>12887.32</v>
      </c>
      <c r="L141" s="5">
        <v>5367.68</v>
      </c>
      <c r="M141" s="6">
        <f t="shared" si="2"/>
        <v>0.29403889345384826</v>
      </c>
    </row>
    <row r="142" spans="1:13" x14ac:dyDescent="0.35">
      <c r="A142">
        <v>2140</v>
      </c>
      <c r="B142" s="4">
        <v>45579</v>
      </c>
      <c r="C142" t="s">
        <v>22</v>
      </c>
      <c r="D142" t="s">
        <v>14</v>
      </c>
      <c r="E142" t="s">
        <v>15</v>
      </c>
      <c r="F142" t="s">
        <v>16</v>
      </c>
      <c r="G142" t="s">
        <v>26</v>
      </c>
      <c r="H142">
        <v>2</v>
      </c>
      <c r="I142" s="5">
        <v>57824</v>
      </c>
      <c r="J142" s="5">
        <v>115648</v>
      </c>
      <c r="K142" s="5">
        <v>83419.89</v>
      </c>
      <c r="L142" s="5">
        <v>32228.11</v>
      </c>
      <c r="M142" s="6">
        <f t="shared" si="2"/>
        <v>0.27867416643608189</v>
      </c>
    </row>
    <row r="143" spans="1:13" x14ac:dyDescent="0.35">
      <c r="A143">
        <v>2141</v>
      </c>
      <c r="B143" s="4">
        <v>45336</v>
      </c>
      <c r="C143" t="s">
        <v>37</v>
      </c>
      <c r="D143" t="s">
        <v>14</v>
      </c>
      <c r="E143" t="s">
        <v>40</v>
      </c>
      <c r="F143" t="s">
        <v>25</v>
      </c>
      <c r="G143" t="s">
        <v>17</v>
      </c>
      <c r="H143">
        <v>1</v>
      </c>
      <c r="I143" s="5">
        <v>70057</v>
      </c>
      <c r="J143" s="5">
        <v>70057</v>
      </c>
      <c r="K143" s="5">
        <v>48279.3</v>
      </c>
      <c r="L143" s="5">
        <v>21777.7</v>
      </c>
      <c r="M143" s="6">
        <f t="shared" si="2"/>
        <v>0.3108568736885679</v>
      </c>
    </row>
    <row r="144" spans="1:13" x14ac:dyDescent="0.35">
      <c r="A144">
        <v>2142</v>
      </c>
      <c r="B144" s="4">
        <v>45457</v>
      </c>
      <c r="C144" t="s">
        <v>22</v>
      </c>
      <c r="D144" t="s">
        <v>42</v>
      </c>
      <c r="E144" t="s">
        <v>43</v>
      </c>
      <c r="F144" t="s">
        <v>25</v>
      </c>
      <c r="G144" t="s">
        <v>31</v>
      </c>
      <c r="H144">
        <v>3</v>
      </c>
      <c r="I144" s="5">
        <v>70198</v>
      </c>
      <c r="J144" s="5">
        <v>210594</v>
      </c>
      <c r="K144" s="5">
        <v>138161.54</v>
      </c>
      <c r="L144" s="5">
        <v>72432.460000000006</v>
      </c>
      <c r="M144" s="6">
        <f t="shared" si="2"/>
        <v>0.34394360713030764</v>
      </c>
    </row>
    <row r="145" spans="1:13" x14ac:dyDescent="0.35">
      <c r="A145">
        <v>2143</v>
      </c>
      <c r="B145" s="4">
        <v>45499</v>
      </c>
      <c r="C145" t="s">
        <v>13</v>
      </c>
      <c r="D145" t="s">
        <v>23</v>
      </c>
      <c r="E145" t="s">
        <v>24</v>
      </c>
      <c r="F145" t="s">
        <v>25</v>
      </c>
      <c r="G145" t="s">
        <v>39</v>
      </c>
      <c r="H145">
        <v>1</v>
      </c>
      <c r="I145" s="5">
        <v>57226</v>
      </c>
      <c r="J145" s="5">
        <v>57226</v>
      </c>
      <c r="K145" s="5">
        <v>37595.82</v>
      </c>
      <c r="L145" s="5">
        <v>19630.18</v>
      </c>
      <c r="M145" s="6">
        <f t="shared" si="2"/>
        <v>0.34302904274280921</v>
      </c>
    </row>
    <row r="146" spans="1:13" x14ac:dyDescent="0.35">
      <c r="A146">
        <v>2144</v>
      </c>
      <c r="B146" s="4">
        <v>45423</v>
      </c>
      <c r="C146" t="s">
        <v>37</v>
      </c>
      <c r="D146" t="s">
        <v>19</v>
      </c>
      <c r="E146" t="s">
        <v>20</v>
      </c>
      <c r="F146" t="s">
        <v>16</v>
      </c>
      <c r="G146" t="s">
        <v>26</v>
      </c>
      <c r="H146">
        <v>2</v>
      </c>
      <c r="I146" s="5">
        <v>16238</v>
      </c>
      <c r="J146" s="5">
        <v>32476</v>
      </c>
      <c r="K146" s="5">
        <v>26945.67</v>
      </c>
      <c r="L146" s="5">
        <v>5530.33</v>
      </c>
      <c r="M146" s="6">
        <f t="shared" si="2"/>
        <v>0.17028975243256558</v>
      </c>
    </row>
    <row r="147" spans="1:13" x14ac:dyDescent="0.35">
      <c r="A147">
        <v>2145</v>
      </c>
      <c r="B147" s="4">
        <v>45463</v>
      </c>
      <c r="C147" t="s">
        <v>18</v>
      </c>
      <c r="D147" t="s">
        <v>14</v>
      </c>
      <c r="E147" t="s">
        <v>15</v>
      </c>
      <c r="F147" t="s">
        <v>16</v>
      </c>
      <c r="G147" t="s">
        <v>36</v>
      </c>
      <c r="H147">
        <v>5</v>
      </c>
      <c r="I147" s="5">
        <v>13712</v>
      </c>
      <c r="J147" s="5">
        <v>68560</v>
      </c>
      <c r="K147" s="5">
        <v>48158.91</v>
      </c>
      <c r="L147" s="5">
        <v>20401.09</v>
      </c>
      <c r="M147" s="6">
        <f t="shared" si="2"/>
        <v>0.29756549008168026</v>
      </c>
    </row>
    <row r="148" spans="1:13" x14ac:dyDescent="0.35">
      <c r="A148">
        <v>2146</v>
      </c>
      <c r="B148" s="4">
        <v>45293</v>
      </c>
      <c r="C148" t="s">
        <v>18</v>
      </c>
      <c r="D148" t="s">
        <v>14</v>
      </c>
      <c r="E148" t="s">
        <v>15</v>
      </c>
      <c r="F148" t="s">
        <v>16</v>
      </c>
      <c r="G148" t="s">
        <v>36</v>
      </c>
      <c r="H148">
        <v>5</v>
      </c>
      <c r="I148" s="5">
        <v>16563</v>
      </c>
      <c r="J148" s="5">
        <v>82815</v>
      </c>
      <c r="K148" s="5">
        <v>54231.51</v>
      </c>
      <c r="L148" s="5">
        <v>28583.49</v>
      </c>
      <c r="M148" s="6">
        <f t="shared" si="2"/>
        <v>0.34514870494475641</v>
      </c>
    </row>
    <row r="149" spans="1:13" x14ac:dyDescent="0.35">
      <c r="A149">
        <v>2147</v>
      </c>
      <c r="B149" s="4">
        <v>45530</v>
      </c>
      <c r="C149" t="s">
        <v>27</v>
      </c>
      <c r="D149" t="s">
        <v>33</v>
      </c>
      <c r="E149" t="s">
        <v>41</v>
      </c>
      <c r="F149" t="s">
        <v>16</v>
      </c>
      <c r="G149" t="s">
        <v>17</v>
      </c>
      <c r="H149">
        <v>4</v>
      </c>
      <c r="I149" s="5">
        <v>40905</v>
      </c>
      <c r="J149" s="5">
        <v>163620</v>
      </c>
      <c r="K149" s="5">
        <v>136247.81</v>
      </c>
      <c r="L149" s="5">
        <v>27372.19</v>
      </c>
      <c r="M149" s="6">
        <f t="shared" si="2"/>
        <v>0.16729122356680112</v>
      </c>
    </row>
    <row r="150" spans="1:13" x14ac:dyDescent="0.35">
      <c r="A150">
        <v>2148</v>
      </c>
      <c r="B150" s="4">
        <v>45385</v>
      </c>
      <c r="C150" t="s">
        <v>13</v>
      </c>
      <c r="D150" t="s">
        <v>23</v>
      </c>
      <c r="E150" t="s">
        <v>38</v>
      </c>
      <c r="F150" t="s">
        <v>25</v>
      </c>
      <c r="G150" t="s">
        <v>17</v>
      </c>
      <c r="H150">
        <v>1</v>
      </c>
      <c r="I150" s="5">
        <v>47756</v>
      </c>
      <c r="J150" s="5">
        <v>47756</v>
      </c>
      <c r="K150" s="5">
        <v>38899.699999999997</v>
      </c>
      <c r="L150" s="5">
        <v>8856.2999999999993</v>
      </c>
      <c r="M150" s="6">
        <f t="shared" si="2"/>
        <v>0.1854489488231845</v>
      </c>
    </row>
    <row r="151" spans="1:13" x14ac:dyDescent="0.35">
      <c r="A151">
        <v>2149</v>
      </c>
      <c r="B151" s="4">
        <v>45459</v>
      </c>
      <c r="C151" t="s">
        <v>32</v>
      </c>
      <c r="D151" t="s">
        <v>33</v>
      </c>
      <c r="E151" t="s">
        <v>34</v>
      </c>
      <c r="F151" t="s">
        <v>25</v>
      </c>
      <c r="G151" t="s">
        <v>31</v>
      </c>
      <c r="H151">
        <v>3</v>
      </c>
      <c r="I151" s="5">
        <v>68395</v>
      </c>
      <c r="J151" s="5">
        <v>205185</v>
      </c>
      <c r="K151" s="5">
        <v>148219.82999999999</v>
      </c>
      <c r="L151" s="5">
        <v>56965.17</v>
      </c>
      <c r="M151" s="6">
        <f t="shared" si="2"/>
        <v>0.27762833540463483</v>
      </c>
    </row>
    <row r="152" spans="1:13" x14ac:dyDescent="0.35">
      <c r="A152">
        <v>2150</v>
      </c>
      <c r="B152" s="4">
        <v>45393</v>
      </c>
      <c r="C152" t="s">
        <v>27</v>
      </c>
      <c r="D152" t="s">
        <v>28</v>
      </c>
      <c r="E152" t="s">
        <v>29</v>
      </c>
      <c r="F152" t="s">
        <v>30</v>
      </c>
      <c r="G152" t="s">
        <v>21</v>
      </c>
      <c r="H152">
        <v>4</v>
      </c>
      <c r="I152" s="5">
        <v>28963</v>
      </c>
      <c r="J152" s="5">
        <v>115852</v>
      </c>
      <c r="K152" s="5">
        <v>81034.009999999995</v>
      </c>
      <c r="L152" s="5">
        <v>34817.99</v>
      </c>
      <c r="M152" s="6">
        <f t="shared" si="2"/>
        <v>0.30053853192003588</v>
      </c>
    </row>
    <row r="153" spans="1:13" x14ac:dyDescent="0.35">
      <c r="A153">
        <v>2151</v>
      </c>
      <c r="B153" s="4">
        <v>45538</v>
      </c>
      <c r="C153" t="s">
        <v>35</v>
      </c>
      <c r="D153" t="s">
        <v>19</v>
      </c>
      <c r="E153" t="s">
        <v>20</v>
      </c>
      <c r="F153" t="s">
        <v>16</v>
      </c>
      <c r="G153" t="s">
        <v>26</v>
      </c>
      <c r="H153">
        <v>5</v>
      </c>
      <c r="I153" s="5">
        <v>79383</v>
      </c>
      <c r="J153" s="5">
        <v>396915</v>
      </c>
      <c r="K153" s="5">
        <v>283854.43</v>
      </c>
      <c r="L153" s="5">
        <v>113060.57</v>
      </c>
      <c r="M153" s="6">
        <f t="shared" si="2"/>
        <v>0.28484831764987467</v>
      </c>
    </row>
    <row r="154" spans="1:13" x14ac:dyDescent="0.35">
      <c r="A154">
        <v>2152</v>
      </c>
      <c r="B154" s="4">
        <v>45427</v>
      </c>
      <c r="C154" t="s">
        <v>27</v>
      </c>
      <c r="D154" t="s">
        <v>23</v>
      </c>
      <c r="E154" t="s">
        <v>24</v>
      </c>
      <c r="F154" t="s">
        <v>25</v>
      </c>
      <c r="G154" t="s">
        <v>26</v>
      </c>
      <c r="H154">
        <v>5</v>
      </c>
      <c r="I154" s="5">
        <v>19020</v>
      </c>
      <c r="J154" s="5">
        <v>95100</v>
      </c>
      <c r="K154" s="5">
        <v>65777.649999999994</v>
      </c>
      <c r="L154" s="5">
        <v>29322.35</v>
      </c>
      <c r="M154" s="6">
        <f t="shared" si="2"/>
        <v>0.30833175604626706</v>
      </c>
    </row>
    <row r="155" spans="1:13" x14ac:dyDescent="0.35">
      <c r="A155">
        <v>2153</v>
      </c>
      <c r="B155" s="4">
        <v>45520</v>
      </c>
      <c r="C155" t="s">
        <v>22</v>
      </c>
      <c r="D155" t="s">
        <v>23</v>
      </c>
      <c r="E155" t="s">
        <v>24</v>
      </c>
      <c r="F155" t="s">
        <v>25</v>
      </c>
      <c r="G155" t="s">
        <v>39</v>
      </c>
      <c r="H155">
        <v>2</v>
      </c>
      <c r="I155" s="5">
        <v>38696</v>
      </c>
      <c r="J155" s="5">
        <v>77392</v>
      </c>
      <c r="K155" s="5">
        <v>52362.36</v>
      </c>
      <c r="L155" s="5">
        <v>25029.64</v>
      </c>
      <c r="M155" s="6">
        <f t="shared" si="2"/>
        <v>0.32341378953897043</v>
      </c>
    </row>
    <row r="156" spans="1:13" x14ac:dyDescent="0.35">
      <c r="A156">
        <v>2154</v>
      </c>
      <c r="B156" s="4">
        <v>45412</v>
      </c>
      <c r="C156" t="s">
        <v>32</v>
      </c>
      <c r="D156" t="s">
        <v>23</v>
      </c>
      <c r="E156" t="s">
        <v>38</v>
      </c>
      <c r="F156" t="s">
        <v>25</v>
      </c>
      <c r="G156" t="s">
        <v>39</v>
      </c>
      <c r="H156">
        <v>5</v>
      </c>
      <c r="I156" s="5">
        <v>23881</v>
      </c>
      <c r="J156" s="5">
        <v>119405</v>
      </c>
      <c r="K156" s="5">
        <v>96234.47</v>
      </c>
      <c r="L156" s="5">
        <v>23170.53</v>
      </c>
      <c r="M156" s="6">
        <f t="shared" si="2"/>
        <v>0.19404991415769857</v>
      </c>
    </row>
    <row r="157" spans="1:13" x14ac:dyDescent="0.35">
      <c r="A157">
        <v>2155</v>
      </c>
      <c r="B157" s="4">
        <v>45582</v>
      </c>
      <c r="C157" t="s">
        <v>18</v>
      </c>
      <c r="D157" t="s">
        <v>14</v>
      </c>
      <c r="E157" t="s">
        <v>40</v>
      </c>
      <c r="F157" t="s">
        <v>25</v>
      </c>
      <c r="G157" t="s">
        <v>36</v>
      </c>
      <c r="H157">
        <v>3</v>
      </c>
      <c r="I157" s="5">
        <v>56886</v>
      </c>
      <c r="J157" s="5">
        <v>170658</v>
      </c>
      <c r="K157" s="5">
        <v>119599.05</v>
      </c>
      <c r="L157" s="5">
        <v>51058.95</v>
      </c>
      <c r="M157" s="6">
        <f t="shared" si="2"/>
        <v>0.29918872833386068</v>
      </c>
    </row>
    <row r="158" spans="1:13" x14ac:dyDescent="0.35">
      <c r="A158">
        <v>2156</v>
      </c>
      <c r="B158" s="4">
        <v>45418</v>
      </c>
      <c r="C158" t="s">
        <v>13</v>
      </c>
      <c r="D158" t="s">
        <v>14</v>
      </c>
      <c r="E158" t="s">
        <v>40</v>
      </c>
      <c r="F158" t="s">
        <v>25</v>
      </c>
      <c r="G158" t="s">
        <v>17</v>
      </c>
      <c r="H158">
        <v>2</v>
      </c>
      <c r="I158" s="5">
        <v>40157</v>
      </c>
      <c r="J158" s="5">
        <v>80314</v>
      </c>
      <c r="K158" s="5">
        <v>55986.95</v>
      </c>
      <c r="L158" s="5">
        <v>24327.05</v>
      </c>
      <c r="M158" s="6">
        <f t="shared" si="2"/>
        <v>0.30289924546156338</v>
      </c>
    </row>
    <row r="159" spans="1:13" x14ac:dyDescent="0.35">
      <c r="A159">
        <v>2157</v>
      </c>
      <c r="B159" s="4">
        <v>45459</v>
      </c>
      <c r="C159" t="s">
        <v>32</v>
      </c>
      <c r="D159" t="s">
        <v>14</v>
      </c>
      <c r="E159" t="s">
        <v>40</v>
      </c>
      <c r="F159" t="s">
        <v>25</v>
      </c>
      <c r="G159" t="s">
        <v>31</v>
      </c>
      <c r="H159">
        <v>1</v>
      </c>
      <c r="I159" s="5">
        <v>59913</v>
      </c>
      <c r="J159" s="5">
        <v>59913</v>
      </c>
      <c r="K159" s="5">
        <v>41958.92</v>
      </c>
      <c r="L159" s="5">
        <v>17954.080000000002</v>
      </c>
      <c r="M159" s="6">
        <f t="shared" si="2"/>
        <v>0.29966918698779899</v>
      </c>
    </row>
    <row r="160" spans="1:13" x14ac:dyDescent="0.35">
      <c r="A160">
        <v>2158</v>
      </c>
      <c r="B160" s="4">
        <v>45410</v>
      </c>
      <c r="C160" t="s">
        <v>32</v>
      </c>
      <c r="D160" t="s">
        <v>33</v>
      </c>
      <c r="E160" t="s">
        <v>41</v>
      </c>
      <c r="F160" t="s">
        <v>16</v>
      </c>
      <c r="G160" t="s">
        <v>21</v>
      </c>
      <c r="H160">
        <v>1</v>
      </c>
      <c r="I160" s="5">
        <v>68806</v>
      </c>
      <c r="J160" s="5">
        <v>68806</v>
      </c>
      <c r="K160" s="5">
        <v>58360.639999999999</v>
      </c>
      <c r="L160" s="5">
        <v>10445.36</v>
      </c>
      <c r="M160" s="6">
        <f t="shared" si="2"/>
        <v>0.15180885387902218</v>
      </c>
    </row>
    <row r="161" spans="1:13" x14ac:dyDescent="0.35">
      <c r="A161">
        <v>2159</v>
      </c>
      <c r="B161" s="4">
        <v>45410</v>
      </c>
      <c r="C161" t="s">
        <v>27</v>
      </c>
      <c r="D161" t="s">
        <v>19</v>
      </c>
      <c r="E161" t="s">
        <v>20</v>
      </c>
      <c r="F161" t="s">
        <v>16</v>
      </c>
      <c r="G161" t="s">
        <v>17</v>
      </c>
      <c r="H161">
        <v>4</v>
      </c>
      <c r="I161" s="5">
        <v>57004</v>
      </c>
      <c r="J161" s="5">
        <v>228016</v>
      </c>
      <c r="K161" s="5">
        <v>150051.03</v>
      </c>
      <c r="L161" s="5">
        <v>77964.97</v>
      </c>
      <c r="M161" s="6">
        <f t="shared" si="2"/>
        <v>0.34192762788576242</v>
      </c>
    </row>
    <row r="162" spans="1:13" x14ac:dyDescent="0.35">
      <c r="A162">
        <v>2160</v>
      </c>
      <c r="B162" s="4">
        <v>45317</v>
      </c>
      <c r="C162" t="s">
        <v>13</v>
      </c>
      <c r="D162" t="s">
        <v>14</v>
      </c>
      <c r="E162" t="s">
        <v>40</v>
      </c>
      <c r="F162" t="s">
        <v>25</v>
      </c>
      <c r="G162" t="s">
        <v>26</v>
      </c>
      <c r="H162">
        <v>2</v>
      </c>
      <c r="I162" s="5">
        <v>33449</v>
      </c>
      <c r="J162" s="5">
        <v>66898</v>
      </c>
      <c r="K162" s="5">
        <v>55929.05</v>
      </c>
      <c r="L162" s="5">
        <v>10968.95</v>
      </c>
      <c r="M162" s="6">
        <f t="shared" si="2"/>
        <v>0.16396529044216571</v>
      </c>
    </row>
    <row r="163" spans="1:13" x14ac:dyDescent="0.35">
      <c r="A163">
        <v>2161</v>
      </c>
      <c r="B163" s="4">
        <v>45521</v>
      </c>
      <c r="C163" t="s">
        <v>32</v>
      </c>
      <c r="D163" t="s">
        <v>14</v>
      </c>
      <c r="E163" t="s">
        <v>15</v>
      </c>
      <c r="F163" t="s">
        <v>16</v>
      </c>
      <c r="G163" t="s">
        <v>31</v>
      </c>
      <c r="H163">
        <v>5</v>
      </c>
      <c r="I163" s="5">
        <v>42071</v>
      </c>
      <c r="J163" s="5">
        <v>210355</v>
      </c>
      <c r="K163" s="5">
        <v>169335.7</v>
      </c>
      <c r="L163" s="5">
        <v>41019.300000000003</v>
      </c>
      <c r="M163" s="6">
        <f t="shared" si="2"/>
        <v>0.19500035654013456</v>
      </c>
    </row>
    <row r="164" spans="1:13" x14ac:dyDescent="0.35">
      <c r="A164">
        <v>2162</v>
      </c>
      <c r="B164" s="4">
        <v>45597</v>
      </c>
      <c r="C164" t="s">
        <v>27</v>
      </c>
      <c r="D164" t="s">
        <v>19</v>
      </c>
      <c r="E164" t="s">
        <v>44</v>
      </c>
      <c r="F164" t="s">
        <v>25</v>
      </c>
      <c r="G164" t="s">
        <v>39</v>
      </c>
      <c r="H164">
        <v>5</v>
      </c>
      <c r="I164" s="5">
        <v>53835</v>
      </c>
      <c r="J164" s="5">
        <v>269175</v>
      </c>
      <c r="K164" s="5">
        <v>186680.69</v>
      </c>
      <c r="L164" s="5">
        <v>82494.31</v>
      </c>
      <c r="M164" s="6">
        <f t="shared" si="2"/>
        <v>0.30647092040494101</v>
      </c>
    </row>
    <row r="165" spans="1:13" x14ac:dyDescent="0.35">
      <c r="A165">
        <v>2163</v>
      </c>
      <c r="B165" s="4">
        <v>45314</v>
      </c>
      <c r="C165" t="s">
        <v>18</v>
      </c>
      <c r="D165" t="s">
        <v>14</v>
      </c>
      <c r="E165" t="s">
        <v>15</v>
      </c>
      <c r="F165" t="s">
        <v>16</v>
      </c>
      <c r="G165" t="s">
        <v>31</v>
      </c>
      <c r="H165">
        <v>2</v>
      </c>
      <c r="I165" s="5">
        <v>41412</v>
      </c>
      <c r="J165" s="5">
        <v>82824</v>
      </c>
      <c r="K165" s="5">
        <v>54468.97</v>
      </c>
      <c r="L165" s="5">
        <v>28355.03</v>
      </c>
      <c r="M165" s="6">
        <f t="shared" si="2"/>
        <v>0.34235282043852022</v>
      </c>
    </row>
    <row r="166" spans="1:13" x14ac:dyDescent="0.35">
      <c r="A166">
        <v>2164</v>
      </c>
      <c r="B166" s="4">
        <v>45459</v>
      </c>
      <c r="C166" t="s">
        <v>37</v>
      </c>
      <c r="D166" t="s">
        <v>33</v>
      </c>
      <c r="E166" t="s">
        <v>41</v>
      </c>
      <c r="F166" t="s">
        <v>16</v>
      </c>
      <c r="G166" t="s">
        <v>26</v>
      </c>
      <c r="H166">
        <v>4</v>
      </c>
      <c r="I166" s="5">
        <v>56733</v>
      </c>
      <c r="J166" s="5">
        <v>226932</v>
      </c>
      <c r="K166" s="5">
        <v>155908.87</v>
      </c>
      <c r="L166" s="5">
        <v>71023.13</v>
      </c>
      <c r="M166" s="6">
        <f t="shared" si="2"/>
        <v>0.31297097809035307</v>
      </c>
    </row>
    <row r="167" spans="1:13" x14ac:dyDescent="0.35">
      <c r="A167">
        <v>2165</v>
      </c>
      <c r="B167" s="4">
        <v>45308</v>
      </c>
      <c r="C167" t="s">
        <v>27</v>
      </c>
      <c r="D167" t="s">
        <v>14</v>
      </c>
      <c r="E167" t="s">
        <v>40</v>
      </c>
      <c r="F167" t="s">
        <v>25</v>
      </c>
      <c r="G167" t="s">
        <v>31</v>
      </c>
      <c r="H167">
        <v>4</v>
      </c>
      <c r="I167" s="5">
        <v>79833</v>
      </c>
      <c r="J167" s="5">
        <v>319332</v>
      </c>
      <c r="K167" s="5">
        <v>238445.65</v>
      </c>
      <c r="L167" s="5">
        <v>80886.350000000006</v>
      </c>
      <c r="M167" s="6">
        <f t="shared" si="2"/>
        <v>0.25329860458707554</v>
      </c>
    </row>
    <row r="168" spans="1:13" x14ac:dyDescent="0.35">
      <c r="A168">
        <v>2166</v>
      </c>
      <c r="B168" s="4">
        <v>45631</v>
      </c>
      <c r="C168" t="s">
        <v>27</v>
      </c>
      <c r="D168" t="s">
        <v>23</v>
      </c>
      <c r="E168" t="s">
        <v>24</v>
      </c>
      <c r="F168" t="s">
        <v>25</v>
      </c>
      <c r="G168" t="s">
        <v>17</v>
      </c>
      <c r="H168">
        <v>5</v>
      </c>
      <c r="I168" s="5">
        <v>28257</v>
      </c>
      <c r="J168" s="5">
        <v>141285</v>
      </c>
      <c r="K168" s="5">
        <v>109896.61</v>
      </c>
      <c r="L168" s="5">
        <v>31388.39</v>
      </c>
      <c r="M168" s="6">
        <f t="shared" si="2"/>
        <v>0.22216364086774959</v>
      </c>
    </row>
    <row r="169" spans="1:13" x14ac:dyDescent="0.35">
      <c r="A169">
        <v>2167</v>
      </c>
      <c r="B169" s="4">
        <v>45495</v>
      </c>
      <c r="C169" t="s">
        <v>35</v>
      </c>
      <c r="D169" t="s">
        <v>19</v>
      </c>
      <c r="E169" t="s">
        <v>20</v>
      </c>
      <c r="F169" t="s">
        <v>16</v>
      </c>
      <c r="G169" t="s">
        <v>31</v>
      </c>
      <c r="H169">
        <v>3</v>
      </c>
      <c r="I169" s="5">
        <v>61711</v>
      </c>
      <c r="J169" s="5">
        <v>185133</v>
      </c>
      <c r="K169" s="5">
        <v>156927.57</v>
      </c>
      <c r="L169" s="5">
        <v>28205.43</v>
      </c>
      <c r="M169" s="6">
        <f t="shared" si="2"/>
        <v>0.15235225486542109</v>
      </c>
    </row>
    <row r="170" spans="1:13" x14ac:dyDescent="0.35">
      <c r="A170">
        <v>2168</v>
      </c>
      <c r="B170" s="4">
        <v>45451</v>
      </c>
      <c r="C170" t="s">
        <v>22</v>
      </c>
      <c r="D170" t="s">
        <v>14</v>
      </c>
      <c r="E170" t="s">
        <v>40</v>
      </c>
      <c r="F170" t="s">
        <v>25</v>
      </c>
      <c r="G170" t="s">
        <v>26</v>
      </c>
      <c r="H170">
        <v>5</v>
      </c>
      <c r="I170" s="5">
        <v>54816</v>
      </c>
      <c r="J170" s="5">
        <v>274080</v>
      </c>
      <c r="K170" s="5">
        <v>200850.21</v>
      </c>
      <c r="L170" s="5">
        <v>73229.789999999994</v>
      </c>
      <c r="M170" s="6">
        <f t="shared" si="2"/>
        <v>0.26718399737302972</v>
      </c>
    </row>
    <row r="171" spans="1:13" x14ac:dyDescent="0.35">
      <c r="A171">
        <v>2169</v>
      </c>
      <c r="B171" s="4">
        <v>45621</v>
      </c>
      <c r="C171" t="s">
        <v>37</v>
      </c>
      <c r="D171" t="s">
        <v>19</v>
      </c>
      <c r="E171" t="s">
        <v>44</v>
      </c>
      <c r="F171" t="s">
        <v>25</v>
      </c>
      <c r="G171" t="s">
        <v>36</v>
      </c>
      <c r="H171">
        <v>2</v>
      </c>
      <c r="I171" s="5">
        <v>59213</v>
      </c>
      <c r="J171" s="5">
        <v>118426</v>
      </c>
      <c r="K171" s="5">
        <v>94220.479999999996</v>
      </c>
      <c r="L171" s="5">
        <v>24205.52</v>
      </c>
      <c r="M171" s="6">
        <f t="shared" si="2"/>
        <v>0.20439362977724487</v>
      </c>
    </row>
    <row r="172" spans="1:13" x14ac:dyDescent="0.35">
      <c r="A172">
        <v>2170</v>
      </c>
      <c r="B172" s="4">
        <v>45372</v>
      </c>
      <c r="C172" t="s">
        <v>27</v>
      </c>
      <c r="D172" t="s">
        <v>33</v>
      </c>
      <c r="E172" t="s">
        <v>41</v>
      </c>
      <c r="F172" t="s">
        <v>16</v>
      </c>
      <c r="G172" t="s">
        <v>17</v>
      </c>
      <c r="H172">
        <v>4</v>
      </c>
      <c r="I172" s="5">
        <v>22881</v>
      </c>
      <c r="J172" s="5">
        <v>91524</v>
      </c>
      <c r="K172" s="5">
        <v>74507.28</v>
      </c>
      <c r="L172" s="5">
        <v>17016.72</v>
      </c>
      <c r="M172" s="6">
        <f t="shared" si="2"/>
        <v>0.18592631440933527</v>
      </c>
    </row>
    <row r="173" spans="1:13" x14ac:dyDescent="0.35">
      <c r="A173">
        <v>2171</v>
      </c>
      <c r="B173" s="4">
        <v>45527</v>
      </c>
      <c r="C173" t="s">
        <v>32</v>
      </c>
      <c r="D173" t="s">
        <v>23</v>
      </c>
      <c r="E173" t="s">
        <v>24</v>
      </c>
      <c r="F173" t="s">
        <v>25</v>
      </c>
      <c r="G173" t="s">
        <v>36</v>
      </c>
      <c r="H173">
        <v>2</v>
      </c>
      <c r="I173" s="5">
        <v>25036</v>
      </c>
      <c r="J173" s="5">
        <v>50072</v>
      </c>
      <c r="K173" s="5">
        <v>32695.360000000001</v>
      </c>
      <c r="L173" s="5">
        <v>17376.64</v>
      </c>
      <c r="M173" s="6">
        <f t="shared" si="2"/>
        <v>0.34703307237577885</v>
      </c>
    </row>
    <row r="174" spans="1:13" x14ac:dyDescent="0.35">
      <c r="A174">
        <v>2172</v>
      </c>
      <c r="B174" s="4">
        <v>45495</v>
      </c>
      <c r="C174" t="s">
        <v>13</v>
      </c>
      <c r="D174" t="s">
        <v>42</v>
      </c>
      <c r="E174" t="s">
        <v>43</v>
      </c>
      <c r="F174" t="s">
        <v>25</v>
      </c>
      <c r="G174" t="s">
        <v>39</v>
      </c>
      <c r="H174">
        <v>1</v>
      </c>
      <c r="I174" s="5">
        <v>56607</v>
      </c>
      <c r="J174" s="5">
        <v>56607</v>
      </c>
      <c r="K174" s="5">
        <v>45141.24</v>
      </c>
      <c r="L174" s="5">
        <v>11465.76</v>
      </c>
      <c r="M174" s="6">
        <f t="shared" si="2"/>
        <v>0.20255021463776565</v>
      </c>
    </row>
    <row r="175" spans="1:13" x14ac:dyDescent="0.35">
      <c r="A175">
        <v>2173</v>
      </c>
      <c r="B175" s="4">
        <v>45437</v>
      </c>
      <c r="C175" t="s">
        <v>13</v>
      </c>
      <c r="D175" t="s">
        <v>33</v>
      </c>
      <c r="E175" t="s">
        <v>34</v>
      </c>
      <c r="F175" t="s">
        <v>25</v>
      </c>
      <c r="G175" t="s">
        <v>36</v>
      </c>
      <c r="H175">
        <v>2</v>
      </c>
      <c r="I175" s="5">
        <v>76309</v>
      </c>
      <c r="J175" s="5">
        <v>152618</v>
      </c>
      <c r="K175" s="5">
        <v>104445.21</v>
      </c>
      <c r="L175" s="5">
        <v>48172.79</v>
      </c>
      <c r="M175" s="6">
        <f t="shared" si="2"/>
        <v>0.31564291236944531</v>
      </c>
    </row>
    <row r="176" spans="1:13" x14ac:dyDescent="0.35">
      <c r="A176">
        <v>2174</v>
      </c>
      <c r="B176" s="4">
        <v>45543</v>
      </c>
      <c r="C176" t="s">
        <v>27</v>
      </c>
      <c r="D176" t="s">
        <v>19</v>
      </c>
      <c r="E176" t="s">
        <v>20</v>
      </c>
      <c r="F176" t="s">
        <v>16</v>
      </c>
      <c r="G176" t="s">
        <v>17</v>
      </c>
      <c r="H176">
        <v>2</v>
      </c>
      <c r="I176" s="5">
        <v>47533</v>
      </c>
      <c r="J176" s="5">
        <v>95066</v>
      </c>
      <c r="K176" s="5">
        <v>64200.93</v>
      </c>
      <c r="L176" s="5">
        <v>30865.07</v>
      </c>
      <c r="M176" s="6">
        <f t="shared" si="2"/>
        <v>0.32466991353375552</v>
      </c>
    </row>
    <row r="177" spans="1:13" x14ac:dyDescent="0.35">
      <c r="A177">
        <v>2175</v>
      </c>
      <c r="B177" s="4">
        <v>45319</v>
      </c>
      <c r="C177" t="s">
        <v>22</v>
      </c>
      <c r="D177" t="s">
        <v>19</v>
      </c>
      <c r="E177" t="s">
        <v>44</v>
      </c>
      <c r="F177" t="s">
        <v>25</v>
      </c>
      <c r="G177" t="s">
        <v>36</v>
      </c>
      <c r="H177">
        <v>5</v>
      </c>
      <c r="I177" s="5">
        <v>58842</v>
      </c>
      <c r="J177" s="5">
        <v>294210</v>
      </c>
      <c r="K177" s="5">
        <v>196314.23999999999</v>
      </c>
      <c r="L177" s="5">
        <v>97895.76</v>
      </c>
      <c r="M177" s="6">
        <f t="shared" si="2"/>
        <v>0.33274110329356582</v>
      </c>
    </row>
    <row r="178" spans="1:13" x14ac:dyDescent="0.35">
      <c r="A178">
        <v>2176</v>
      </c>
      <c r="B178" s="4">
        <v>45619</v>
      </c>
      <c r="C178" t="s">
        <v>35</v>
      </c>
      <c r="D178" t="s">
        <v>28</v>
      </c>
      <c r="E178" t="s">
        <v>29</v>
      </c>
      <c r="F178" t="s">
        <v>30</v>
      </c>
      <c r="G178" t="s">
        <v>31</v>
      </c>
      <c r="H178">
        <v>2</v>
      </c>
      <c r="I178" s="5">
        <v>61016</v>
      </c>
      <c r="J178" s="5">
        <v>122032</v>
      </c>
      <c r="K178" s="5">
        <v>94324.12</v>
      </c>
      <c r="L178" s="5">
        <v>27707.88</v>
      </c>
      <c r="M178" s="6">
        <f t="shared" si="2"/>
        <v>0.22705421528779338</v>
      </c>
    </row>
    <row r="179" spans="1:13" x14ac:dyDescent="0.35">
      <c r="A179">
        <v>2177</v>
      </c>
      <c r="B179" s="4">
        <v>45385</v>
      </c>
      <c r="C179" t="s">
        <v>37</v>
      </c>
      <c r="D179" t="s">
        <v>33</v>
      </c>
      <c r="E179" t="s">
        <v>41</v>
      </c>
      <c r="F179" t="s">
        <v>16</v>
      </c>
      <c r="G179" t="s">
        <v>17</v>
      </c>
      <c r="H179">
        <v>5</v>
      </c>
      <c r="I179" s="5">
        <v>36591</v>
      </c>
      <c r="J179" s="5">
        <v>182955</v>
      </c>
      <c r="K179" s="5">
        <v>120447.05</v>
      </c>
      <c r="L179" s="5">
        <v>62507.95</v>
      </c>
      <c r="M179" s="6">
        <f t="shared" si="2"/>
        <v>0.34165751140990952</v>
      </c>
    </row>
    <row r="180" spans="1:13" x14ac:dyDescent="0.35">
      <c r="A180">
        <v>2178</v>
      </c>
      <c r="B180" s="4">
        <v>45475</v>
      </c>
      <c r="C180" t="s">
        <v>13</v>
      </c>
      <c r="D180" t="s">
        <v>42</v>
      </c>
      <c r="E180" t="s">
        <v>43</v>
      </c>
      <c r="F180" t="s">
        <v>25</v>
      </c>
      <c r="G180" t="s">
        <v>17</v>
      </c>
      <c r="H180">
        <v>1</v>
      </c>
      <c r="I180" s="5">
        <v>27590</v>
      </c>
      <c r="J180" s="5">
        <v>27590</v>
      </c>
      <c r="K180" s="5">
        <v>19296.77</v>
      </c>
      <c r="L180" s="5">
        <v>8293.23</v>
      </c>
      <c r="M180" s="6">
        <f t="shared" si="2"/>
        <v>0.30058825661471544</v>
      </c>
    </row>
    <row r="181" spans="1:13" x14ac:dyDescent="0.35">
      <c r="A181">
        <v>2179</v>
      </c>
      <c r="B181" s="4">
        <v>45636</v>
      </c>
      <c r="C181" t="s">
        <v>27</v>
      </c>
      <c r="D181" t="s">
        <v>33</v>
      </c>
      <c r="E181" t="s">
        <v>41</v>
      </c>
      <c r="F181" t="s">
        <v>16</v>
      </c>
      <c r="G181" t="s">
        <v>21</v>
      </c>
      <c r="H181">
        <v>1</v>
      </c>
      <c r="I181" s="5">
        <v>50493</v>
      </c>
      <c r="J181" s="5">
        <v>50493</v>
      </c>
      <c r="K181" s="5">
        <v>34009.370000000003</v>
      </c>
      <c r="L181" s="5">
        <v>16483.63</v>
      </c>
      <c r="M181" s="6">
        <f t="shared" si="2"/>
        <v>0.32645376586853625</v>
      </c>
    </row>
    <row r="182" spans="1:13" x14ac:dyDescent="0.35">
      <c r="A182">
        <v>2180</v>
      </c>
      <c r="B182" s="4">
        <v>45613</v>
      </c>
      <c r="C182" t="s">
        <v>22</v>
      </c>
      <c r="D182" t="s">
        <v>28</v>
      </c>
      <c r="E182" t="s">
        <v>29</v>
      </c>
      <c r="F182" t="s">
        <v>30</v>
      </c>
      <c r="G182" t="s">
        <v>21</v>
      </c>
      <c r="H182">
        <v>3</v>
      </c>
      <c r="I182" s="5">
        <v>63059</v>
      </c>
      <c r="J182" s="5">
        <v>189177</v>
      </c>
      <c r="K182" s="5">
        <v>134626.35999999999</v>
      </c>
      <c r="L182" s="5">
        <v>54550.64</v>
      </c>
      <c r="M182" s="6">
        <f t="shared" si="2"/>
        <v>0.28835767561595754</v>
      </c>
    </row>
    <row r="183" spans="1:13" x14ac:dyDescent="0.35">
      <c r="A183">
        <v>2181</v>
      </c>
      <c r="B183" s="4">
        <v>45629</v>
      </c>
      <c r="C183" t="s">
        <v>22</v>
      </c>
      <c r="D183" t="s">
        <v>33</v>
      </c>
      <c r="E183" t="s">
        <v>41</v>
      </c>
      <c r="F183" t="s">
        <v>16</v>
      </c>
      <c r="G183" t="s">
        <v>17</v>
      </c>
      <c r="H183">
        <v>3</v>
      </c>
      <c r="I183" s="5">
        <v>66561</v>
      </c>
      <c r="J183" s="5">
        <v>199683</v>
      </c>
      <c r="K183" s="5">
        <v>149905.16</v>
      </c>
      <c r="L183" s="5">
        <v>49777.84</v>
      </c>
      <c r="M183" s="6">
        <f t="shared" si="2"/>
        <v>0.24928431564028986</v>
      </c>
    </row>
    <row r="184" spans="1:13" x14ac:dyDescent="0.35">
      <c r="A184">
        <v>2182</v>
      </c>
      <c r="B184" s="4">
        <v>45608</v>
      </c>
      <c r="C184" t="s">
        <v>27</v>
      </c>
      <c r="D184" t="s">
        <v>33</v>
      </c>
      <c r="E184" t="s">
        <v>34</v>
      </c>
      <c r="F184" t="s">
        <v>25</v>
      </c>
      <c r="G184" t="s">
        <v>26</v>
      </c>
      <c r="H184">
        <v>4</v>
      </c>
      <c r="I184" s="5">
        <v>68984</v>
      </c>
      <c r="J184" s="5">
        <v>275936</v>
      </c>
      <c r="K184" s="5">
        <v>192341.24</v>
      </c>
      <c r="L184" s="5">
        <v>83594.759999999995</v>
      </c>
      <c r="M184" s="6">
        <f t="shared" si="2"/>
        <v>0.30294981444972746</v>
      </c>
    </row>
    <row r="185" spans="1:13" x14ac:dyDescent="0.35">
      <c r="A185">
        <v>2183</v>
      </c>
      <c r="B185" s="4">
        <v>45383</v>
      </c>
      <c r="C185" t="s">
        <v>37</v>
      </c>
      <c r="D185" t="s">
        <v>28</v>
      </c>
      <c r="E185" t="s">
        <v>29</v>
      </c>
      <c r="F185" t="s">
        <v>30</v>
      </c>
      <c r="G185" t="s">
        <v>17</v>
      </c>
      <c r="H185">
        <v>4</v>
      </c>
      <c r="I185" s="5">
        <v>60473</v>
      </c>
      <c r="J185" s="5">
        <v>241892</v>
      </c>
      <c r="K185" s="5">
        <v>162409.97</v>
      </c>
      <c r="L185" s="5">
        <v>79482.03</v>
      </c>
      <c r="M185" s="6">
        <f t="shared" si="2"/>
        <v>0.32858478163808641</v>
      </c>
    </row>
    <row r="186" spans="1:13" x14ac:dyDescent="0.35">
      <c r="A186">
        <v>2184</v>
      </c>
      <c r="B186" s="4">
        <v>45479</v>
      </c>
      <c r="C186" t="s">
        <v>18</v>
      </c>
      <c r="D186" t="s">
        <v>33</v>
      </c>
      <c r="E186" t="s">
        <v>34</v>
      </c>
      <c r="F186" t="s">
        <v>25</v>
      </c>
      <c r="G186" t="s">
        <v>17</v>
      </c>
      <c r="H186">
        <v>1</v>
      </c>
      <c r="I186" s="5">
        <v>65929</v>
      </c>
      <c r="J186" s="5">
        <v>65929</v>
      </c>
      <c r="K186" s="5">
        <v>49504</v>
      </c>
      <c r="L186" s="5">
        <v>16425</v>
      </c>
      <c r="M186" s="6">
        <f t="shared" si="2"/>
        <v>0.24913164161446405</v>
      </c>
    </row>
    <row r="187" spans="1:13" x14ac:dyDescent="0.35">
      <c r="A187">
        <v>2185</v>
      </c>
      <c r="B187" s="4">
        <v>45358</v>
      </c>
      <c r="C187" t="s">
        <v>27</v>
      </c>
      <c r="D187" t="s">
        <v>19</v>
      </c>
      <c r="E187" t="s">
        <v>44</v>
      </c>
      <c r="F187" t="s">
        <v>25</v>
      </c>
      <c r="G187" t="s">
        <v>39</v>
      </c>
      <c r="H187">
        <v>1</v>
      </c>
      <c r="I187" s="5">
        <v>49120</v>
      </c>
      <c r="J187" s="5">
        <v>49120</v>
      </c>
      <c r="K187" s="5">
        <v>39567.5</v>
      </c>
      <c r="L187" s="5">
        <v>9552.5</v>
      </c>
      <c r="M187" s="6">
        <f t="shared" si="2"/>
        <v>0.19447271986970685</v>
      </c>
    </row>
    <row r="188" spans="1:13" x14ac:dyDescent="0.35">
      <c r="A188">
        <v>2186</v>
      </c>
      <c r="B188" s="4">
        <v>45550</v>
      </c>
      <c r="C188" t="s">
        <v>27</v>
      </c>
      <c r="D188" t="s">
        <v>42</v>
      </c>
      <c r="E188" t="s">
        <v>43</v>
      </c>
      <c r="F188" t="s">
        <v>25</v>
      </c>
      <c r="G188" t="s">
        <v>26</v>
      </c>
      <c r="H188">
        <v>4</v>
      </c>
      <c r="I188" s="5">
        <v>25850</v>
      </c>
      <c r="J188" s="5">
        <v>103400</v>
      </c>
      <c r="K188" s="5">
        <v>67744.710000000006</v>
      </c>
      <c r="L188" s="5">
        <v>35655.29</v>
      </c>
      <c r="M188" s="6">
        <f t="shared" si="2"/>
        <v>0.34482872340425536</v>
      </c>
    </row>
    <row r="189" spans="1:13" x14ac:dyDescent="0.35">
      <c r="A189">
        <v>2187</v>
      </c>
      <c r="B189" s="4">
        <v>45646</v>
      </c>
      <c r="C189" t="s">
        <v>32</v>
      </c>
      <c r="D189" t="s">
        <v>19</v>
      </c>
      <c r="E189" t="s">
        <v>20</v>
      </c>
      <c r="F189" t="s">
        <v>16</v>
      </c>
      <c r="G189" t="s">
        <v>39</v>
      </c>
      <c r="H189">
        <v>1</v>
      </c>
      <c r="I189" s="5">
        <v>33389</v>
      </c>
      <c r="J189" s="5">
        <v>33389</v>
      </c>
      <c r="K189" s="5">
        <v>22581.77</v>
      </c>
      <c r="L189" s="5">
        <v>10807.23</v>
      </c>
      <c r="M189" s="6">
        <f t="shared" si="2"/>
        <v>0.32367636047800175</v>
      </c>
    </row>
    <row r="190" spans="1:13" x14ac:dyDescent="0.35">
      <c r="A190">
        <v>2188</v>
      </c>
      <c r="B190" s="4">
        <v>45643</v>
      </c>
      <c r="C190" t="s">
        <v>18</v>
      </c>
      <c r="D190" t="s">
        <v>23</v>
      </c>
      <c r="E190" t="s">
        <v>38</v>
      </c>
      <c r="F190" t="s">
        <v>25</v>
      </c>
      <c r="G190" t="s">
        <v>31</v>
      </c>
      <c r="H190">
        <v>2</v>
      </c>
      <c r="I190" s="5">
        <v>16587</v>
      </c>
      <c r="J190" s="5">
        <v>33174</v>
      </c>
      <c r="K190" s="5">
        <v>27090.13</v>
      </c>
      <c r="L190" s="5">
        <v>6083.87</v>
      </c>
      <c r="M190" s="6">
        <f t="shared" si="2"/>
        <v>0.18339271718815939</v>
      </c>
    </row>
    <row r="191" spans="1:13" x14ac:dyDescent="0.35">
      <c r="A191">
        <v>2189</v>
      </c>
      <c r="B191" s="4">
        <v>45373</v>
      </c>
      <c r="C191" t="s">
        <v>37</v>
      </c>
      <c r="D191" t="s">
        <v>28</v>
      </c>
      <c r="E191" t="s">
        <v>29</v>
      </c>
      <c r="F191" t="s">
        <v>30</v>
      </c>
      <c r="G191" t="s">
        <v>36</v>
      </c>
      <c r="H191">
        <v>3</v>
      </c>
      <c r="I191" s="5">
        <v>44043</v>
      </c>
      <c r="J191" s="5">
        <v>132129</v>
      </c>
      <c r="K191" s="5">
        <v>109800.84</v>
      </c>
      <c r="L191" s="5">
        <v>22328.16</v>
      </c>
      <c r="M191" s="6">
        <f t="shared" si="2"/>
        <v>0.16898758031923347</v>
      </c>
    </row>
    <row r="192" spans="1:13" x14ac:dyDescent="0.35">
      <c r="A192">
        <v>2190</v>
      </c>
      <c r="B192" s="4">
        <v>45549</v>
      </c>
      <c r="C192" t="s">
        <v>13</v>
      </c>
      <c r="D192" t="s">
        <v>23</v>
      </c>
      <c r="E192" t="s">
        <v>38</v>
      </c>
      <c r="F192" t="s">
        <v>25</v>
      </c>
      <c r="G192" t="s">
        <v>36</v>
      </c>
      <c r="H192">
        <v>4</v>
      </c>
      <c r="I192" s="5">
        <v>35305</v>
      </c>
      <c r="J192" s="5">
        <v>141220</v>
      </c>
      <c r="K192" s="5">
        <v>108510.28</v>
      </c>
      <c r="L192" s="5">
        <v>32709.72</v>
      </c>
      <c r="M192" s="6">
        <f t="shared" si="2"/>
        <v>0.23162243308313271</v>
      </c>
    </row>
    <row r="193" spans="1:13" x14ac:dyDescent="0.35">
      <c r="A193">
        <v>2191</v>
      </c>
      <c r="B193" s="4">
        <v>45455</v>
      </c>
      <c r="C193" t="s">
        <v>32</v>
      </c>
      <c r="D193" t="s">
        <v>28</v>
      </c>
      <c r="E193" t="s">
        <v>29</v>
      </c>
      <c r="F193" t="s">
        <v>30</v>
      </c>
      <c r="G193" t="s">
        <v>31</v>
      </c>
      <c r="H193">
        <v>3</v>
      </c>
      <c r="I193" s="5">
        <v>12827</v>
      </c>
      <c r="J193" s="5">
        <v>38481</v>
      </c>
      <c r="K193" s="5">
        <v>26543.75</v>
      </c>
      <c r="L193" s="5">
        <v>11937.25</v>
      </c>
      <c r="M193" s="6">
        <f t="shared" si="2"/>
        <v>0.31021153296432008</v>
      </c>
    </row>
    <row r="194" spans="1:13" x14ac:dyDescent="0.35">
      <c r="A194">
        <v>2192</v>
      </c>
      <c r="B194" s="4">
        <v>45434</v>
      </c>
      <c r="C194" t="s">
        <v>13</v>
      </c>
      <c r="D194" t="s">
        <v>23</v>
      </c>
      <c r="E194" t="s">
        <v>24</v>
      </c>
      <c r="F194" t="s">
        <v>25</v>
      </c>
      <c r="G194" t="s">
        <v>39</v>
      </c>
      <c r="H194">
        <v>3</v>
      </c>
      <c r="I194" s="5">
        <v>57393</v>
      </c>
      <c r="J194" s="5">
        <v>172179</v>
      </c>
      <c r="K194" s="5">
        <v>117727.12</v>
      </c>
      <c r="L194" s="5">
        <v>54451.88</v>
      </c>
      <c r="M194" s="6">
        <f t="shared" si="2"/>
        <v>0.31625157539537341</v>
      </c>
    </row>
    <row r="195" spans="1:13" x14ac:dyDescent="0.35">
      <c r="A195">
        <v>2193</v>
      </c>
      <c r="B195" s="4">
        <v>45316</v>
      </c>
      <c r="C195" t="s">
        <v>27</v>
      </c>
      <c r="D195" t="s">
        <v>14</v>
      </c>
      <c r="E195" t="s">
        <v>40</v>
      </c>
      <c r="F195" t="s">
        <v>25</v>
      </c>
      <c r="G195" t="s">
        <v>21</v>
      </c>
      <c r="H195">
        <v>3</v>
      </c>
      <c r="I195" s="5">
        <v>67380</v>
      </c>
      <c r="J195" s="5">
        <v>202140</v>
      </c>
      <c r="K195" s="5">
        <v>153835.82</v>
      </c>
      <c r="L195" s="5">
        <v>48304.18</v>
      </c>
      <c r="M195" s="6">
        <f t="shared" ref="M195:M258" si="3">L195/J195</f>
        <v>0.23896398535668348</v>
      </c>
    </row>
    <row r="196" spans="1:13" x14ac:dyDescent="0.35">
      <c r="A196">
        <v>2194</v>
      </c>
      <c r="B196" s="4">
        <v>45421</v>
      </c>
      <c r="C196" t="s">
        <v>35</v>
      </c>
      <c r="D196" t="s">
        <v>28</v>
      </c>
      <c r="E196" t="s">
        <v>29</v>
      </c>
      <c r="F196" t="s">
        <v>30</v>
      </c>
      <c r="G196" t="s">
        <v>26</v>
      </c>
      <c r="H196">
        <v>5</v>
      </c>
      <c r="I196" s="5">
        <v>59675</v>
      </c>
      <c r="J196" s="5">
        <v>298375</v>
      </c>
      <c r="K196" s="5">
        <v>237979.31</v>
      </c>
      <c r="L196" s="5">
        <v>60395.69</v>
      </c>
      <c r="M196" s="6">
        <f t="shared" si="3"/>
        <v>0.20241538332635109</v>
      </c>
    </row>
    <row r="197" spans="1:13" x14ac:dyDescent="0.35">
      <c r="A197">
        <v>2195</v>
      </c>
      <c r="B197" s="4">
        <v>45480</v>
      </c>
      <c r="C197" t="s">
        <v>18</v>
      </c>
      <c r="D197" t="s">
        <v>14</v>
      </c>
      <c r="E197" t="s">
        <v>15</v>
      </c>
      <c r="F197" t="s">
        <v>16</v>
      </c>
      <c r="G197" t="s">
        <v>17</v>
      </c>
      <c r="H197">
        <v>5</v>
      </c>
      <c r="I197" s="5">
        <v>27162</v>
      </c>
      <c r="J197" s="5">
        <v>135810</v>
      </c>
      <c r="K197" s="5">
        <v>98061.65</v>
      </c>
      <c r="L197" s="5">
        <v>37748.35</v>
      </c>
      <c r="M197" s="6">
        <f t="shared" si="3"/>
        <v>0.27794970915249245</v>
      </c>
    </row>
    <row r="198" spans="1:13" x14ac:dyDescent="0.35">
      <c r="A198">
        <v>2196</v>
      </c>
      <c r="B198" s="4">
        <v>45382</v>
      </c>
      <c r="C198" t="s">
        <v>22</v>
      </c>
      <c r="D198" t="s">
        <v>19</v>
      </c>
      <c r="E198" t="s">
        <v>20</v>
      </c>
      <c r="F198" t="s">
        <v>16</v>
      </c>
      <c r="G198" t="s">
        <v>31</v>
      </c>
      <c r="H198">
        <v>5</v>
      </c>
      <c r="I198" s="5">
        <v>14329</v>
      </c>
      <c r="J198" s="5">
        <v>71645</v>
      </c>
      <c r="K198" s="5">
        <v>50816.13</v>
      </c>
      <c r="L198" s="5">
        <v>20828.87</v>
      </c>
      <c r="M198" s="6">
        <f t="shared" si="3"/>
        <v>0.29072328843603878</v>
      </c>
    </row>
    <row r="199" spans="1:13" x14ac:dyDescent="0.35">
      <c r="A199">
        <v>2197</v>
      </c>
      <c r="B199" s="4">
        <v>45619</v>
      </c>
      <c r="C199" t="s">
        <v>18</v>
      </c>
      <c r="D199" t="s">
        <v>42</v>
      </c>
      <c r="E199" t="s">
        <v>43</v>
      </c>
      <c r="F199" t="s">
        <v>25</v>
      </c>
      <c r="G199" t="s">
        <v>36</v>
      </c>
      <c r="H199">
        <v>5</v>
      </c>
      <c r="I199" s="5">
        <v>48979</v>
      </c>
      <c r="J199" s="5">
        <v>244895</v>
      </c>
      <c r="K199" s="5">
        <v>195085.26</v>
      </c>
      <c r="L199" s="5">
        <v>49809.74</v>
      </c>
      <c r="M199" s="6">
        <f t="shared" si="3"/>
        <v>0.20339222932277098</v>
      </c>
    </row>
    <row r="200" spans="1:13" x14ac:dyDescent="0.35">
      <c r="A200">
        <v>2198</v>
      </c>
      <c r="B200" s="4">
        <v>45440</v>
      </c>
      <c r="C200" t="s">
        <v>13</v>
      </c>
      <c r="D200" t="s">
        <v>19</v>
      </c>
      <c r="E200" t="s">
        <v>44</v>
      </c>
      <c r="F200" t="s">
        <v>25</v>
      </c>
      <c r="G200" t="s">
        <v>31</v>
      </c>
      <c r="H200">
        <v>5</v>
      </c>
      <c r="I200" s="5">
        <v>64653</v>
      </c>
      <c r="J200" s="5">
        <v>323265</v>
      </c>
      <c r="K200" s="5">
        <v>237126.97</v>
      </c>
      <c r="L200" s="5">
        <v>86138.03</v>
      </c>
      <c r="M200" s="6">
        <f t="shared" si="3"/>
        <v>0.26646259260977834</v>
      </c>
    </row>
    <row r="201" spans="1:13" x14ac:dyDescent="0.35">
      <c r="A201">
        <v>2199</v>
      </c>
      <c r="B201" s="4">
        <v>45542</v>
      </c>
      <c r="C201" t="s">
        <v>27</v>
      </c>
      <c r="D201" t="s">
        <v>14</v>
      </c>
      <c r="E201" t="s">
        <v>15</v>
      </c>
      <c r="F201" t="s">
        <v>16</v>
      </c>
      <c r="G201" t="s">
        <v>31</v>
      </c>
      <c r="H201">
        <v>2</v>
      </c>
      <c r="I201" s="5">
        <v>13974</v>
      </c>
      <c r="J201" s="5">
        <v>27948</v>
      </c>
      <c r="K201" s="5">
        <v>18290.79</v>
      </c>
      <c r="L201" s="5">
        <v>9657.2099999999991</v>
      </c>
      <c r="M201" s="6">
        <f t="shared" si="3"/>
        <v>0.34554207814512661</v>
      </c>
    </row>
    <row r="202" spans="1:13" x14ac:dyDescent="0.35">
      <c r="A202">
        <v>2200</v>
      </c>
      <c r="B202" s="4">
        <v>45447</v>
      </c>
      <c r="C202" t="s">
        <v>32</v>
      </c>
      <c r="D202" t="s">
        <v>19</v>
      </c>
      <c r="E202" t="s">
        <v>44</v>
      </c>
      <c r="F202" t="s">
        <v>25</v>
      </c>
      <c r="G202" t="s">
        <v>36</v>
      </c>
      <c r="H202">
        <v>1</v>
      </c>
      <c r="I202" s="5">
        <v>76562</v>
      </c>
      <c r="J202" s="5">
        <v>76562</v>
      </c>
      <c r="K202" s="5">
        <v>55234.15</v>
      </c>
      <c r="L202" s="5">
        <v>21327.85</v>
      </c>
      <c r="M202" s="6">
        <f t="shared" si="3"/>
        <v>0.27856965596510014</v>
      </c>
    </row>
    <row r="203" spans="1:13" x14ac:dyDescent="0.35">
      <c r="A203">
        <v>2201</v>
      </c>
      <c r="B203" s="4">
        <v>45446</v>
      </c>
      <c r="C203" t="s">
        <v>22</v>
      </c>
      <c r="D203" t="s">
        <v>33</v>
      </c>
      <c r="E203" t="s">
        <v>41</v>
      </c>
      <c r="F203" t="s">
        <v>16</v>
      </c>
      <c r="G203" t="s">
        <v>21</v>
      </c>
      <c r="H203">
        <v>5</v>
      </c>
      <c r="I203" s="5">
        <v>25527</v>
      </c>
      <c r="J203" s="5">
        <v>127635</v>
      </c>
      <c r="K203" s="5">
        <v>88174.96</v>
      </c>
      <c r="L203" s="5">
        <v>39460.04</v>
      </c>
      <c r="M203" s="6">
        <f t="shared" si="3"/>
        <v>0.30916316057507737</v>
      </c>
    </row>
    <row r="204" spans="1:13" x14ac:dyDescent="0.35">
      <c r="A204">
        <v>2202</v>
      </c>
      <c r="B204" s="4">
        <v>45373</v>
      </c>
      <c r="C204" t="s">
        <v>37</v>
      </c>
      <c r="D204" t="s">
        <v>28</v>
      </c>
      <c r="E204" t="s">
        <v>29</v>
      </c>
      <c r="F204" t="s">
        <v>30</v>
      </c>
      <c r="G204" t="s">
        <v>17</v>
      </c>
      <c r="H204">
        <v>2</v>
      </c>
      <c r="I204" s="5">
        <v>9849</v>
      </c>
      <c r="J204" s="5">
        <v>19698</v>
      </c>
      <c r="K204" s="5">
        <v>16493.490000000002</v>
      </c>
      <c r="L204" s="5">
        <v>3204.51</v>
      </c>
      <c r="M204" s="6">
        <f t="shared" si="3"/>
        <v>0.16268199817240331</v>
      </c>
    </row>
    <row r="205" spans="1:13" x14ac:dyDescent="0.35">
      <c r="A205">
        <v>2203</v>
      </c>
      <c r="B205" s="4">
        <v>45522</v>
      </c>
      <c r="C205" t="s">
        <v>35</v>
      </c>
      <c r="D205" t="s">
        <v>33</v>
      </c>
      <c r="E205" t="s">
        <v>41</v>
      </c>
      <c r="F205" t="s">
        <v>16</v>
      </c>
      <c r="G205" t="s">
        <v>31</v>
      </c>
      <c r="H205">
        <v>1</v>
      </c>
      <c r="I205" s="5">
        <v>16345</v>
      </c>
      <c r="J205" s="5">
        <v>16345</v>
      </c>
      <c r="K205" s="5">
        <v>12710.56</v>
      </c>
      <c r="L205" s="5">
        <v>3634.44</v>
      </c>
      <c r="M205" s="6">
        <f t="shared" si="3"/>
        <v>0.22235790761700827</v>
      </c>
    </row>
    <row r="206" spans="1:13" x14ac:dyDescent="0.35">
      <c r="A206">
        <v>2204</v>
      </c>
      <c r="B206" s="4">
        <v>45297</v>
      </c>
      <c r="C206" t="s">
        <v>22</v>
      </c>
      <c r="D206" t="s">
        <v>14</v>
      </c>
      <c r="E206" t="s">
        <v>40</v>
      </c>
      <c r="F206" t="s">
        <v>25</v>
      </c>
      <c r="G206" t="s">
        <v>36</v>
      </c>
      <c r="H206">
        <v>1</v>
      </c>
      <c r="I206" s="5">
        <v>53918</v>
      </c>
      <c r="J206" s="5">
        <v>53918</v>
      </c>
      <c r="K206" s="5">
        <v>41459.97</v>
      </c>
      <c r="L206" s="5">
        <v>12458.03</v>
      </c>
      <c r="M206" s="6">
        <f t="shared" si="3"/>
        <v>0.23105512073889983</v>
      </c>
    </row>
    <row r="207" spans="1:13" x14ac:dyDescent="0.35">
      <c r="A207">
        <v>2205</v>
      </c>
      <c r="B207" s="4">
        <v>45557</v>
      </c>
      <c r="C207" t="s">
        <v>22</v>
      </c>
      <c r="D207" t="s">
        <v>28</v>
      </c>
      <c r="E207" t="s">
        <v>29</v>
      </c>
      <c r="F207" t="s">
        <v>30</v>
      </c>
      <c r="G207" t="s">
        <v>21</v>
      </c>
      <c r="H207">
        <v>4</v>
      </c>
      <c r="I207" s="5">
        <v>40571</v>
      </c>
      <c r="J207" s="5">
        <v>162284</v>
      </c>
      <c r="K207" s="5">
        <v>110843.19</v>
      </c>
      <c r="L207" s="5">
        <v>51440.81</v>
      </c>
      <c r="M207" s="6">
        <f t="shared" si="3"/>
        <v>0.31698017056518202</v>
      </c>
    </row>
    <row r="208" spans="1:13" x14ac:dyDescent="0.35">
      <c r="A208">
        <v>2206</v>
      </c>
      <c r="B208" s="4">
        <v>45564</v>
      </c>
      <c r="C208" t="s">
        <v>27</v>
      </c>
      <c r="D208" t="s">
        <v>19</v>
      </c>
      <c r="E208" t="s">
        <v>44</v>
      </c>
      <c r="F208" t="s">
        <v>25</v>
      </c>
      <c r="G208" t="s">
        <v>26</v>
      </c>
      <c r="H208">
        <v>1</v>
      </c>
      <c r="I208" s="5">
        <v>61213</v>
      </c>
      <c r="J208" s="5">
        <v>61213</v>
      </c>
      <c r="K208" s="5">
        <v>42061.39</v>
      </c>
      <c r="L208" s="5">
        <v>19151.61</v>
      </c>
      <c r="M208" s="6">
        <f t="shared" si="3"/>
        <v>0.31286834495940408</v>
      </c>
    </row>
    <row r="209" spans="1:13" x14ac:dyDescent="0.35">
      <c r="A209">
        <v>2207</v>
      </c>
      <c r="B209" s="4">
        <v>45298</v>
      </c>
      <c r="C209" t="s">
        <v>27</v>
      </c>
      <c r="D209" t="s">
        <v>33</v>
      </c>
      <c r="E209" t="s">
        <v>34</v>
      </c>
      <c r="F209" t="s">
        <v>25</v>
      </c>
      <c r="G209" t="s">
        <v>26</v>
      </c>
      <c r="H209">
        <v>5</v>
      </c>
      <c r="I209" s="5">
        <v>33855</v>
      </c>
      <c r="J209" s="5">
        <v>169275</v>
      </c>
      <c r="K209" s="5">
        <v>114845.18</v>
      </c>
      <c r="L209" s="5">
        <v>54429.82</v>
      </c>
      <c r="M209" s="6">
        <f t="shared" si="3"/>
        <v>0.32154671392704182</v>
      </c>
    </row>
    <row r="210" spans="1:13" x14ac:dyDescent="0.35">
      <c r="A210">
        <v>2208</v>
      </c>
      <c r="B210" s="4">
        <v>45621</v>
      </c>
      <c r="C210" t="s">
        <v>32</v>
      </c>
      <c r="D210" t="s">
        <v>33</v>
      </c>
      <c r="E210" t="s">
        <v>41</v>
      </c>
      <c r="F210" t="s">
        <v>16</v>
      </c>
      <c r="G210" t="s">
        <v>21</v>
      </c>
      <c r="H210">
        <v>5</v>
      </c>
      <c r="I210" s="5">
        <v>62426</v>
      </c>
      <c r="J210" s="5">
        <v>312130</v>
      </c>
      <c r="K210" s="5">
        <v>253660.61</v>
      </c>
      <c r="L210" s="5">
        <v>58469.39</v>
      </c>
      <c r="M210" s="6">
        <f t="shared" si="3"/>
        <v>0.18732383942588024</v>
      </c>
    </row>
    <row r="211" spans="1:13" x14ac:dyDescent="0.35">
      <c r="A211">
        <v>2209</v>
      </c>
      <c r="B211" s="4">
        <v>45324</v>
      </c>
      <c r="C211" t="s">
        <v>32</v>
      </c>
      <c r="D211" t="s">
        <v>33</v>
      </c>
      <c r="E211" t="s">
        <v>34</v>
      </c>
      <c r="F211" t="s">
        <v>25</v>
      </c>
      <c r="G211" t="s">
        <v>36</v>
      </c>
      <c r="H211">
        <v>3</v>
      </c>
      <c r="I211" s="5">
        <v>14355</v>
      </c>
      <c r="J211" s="5">
        <v>43065</v>
      </c>
      <c r="K211" s="5">
        <v>36554.1</v>
      </c>
      <c r="L211" s="5">
        <v>6510.9</v>
      </c>
      <c r="M211" s="6">
        <f t="shared" si="3"/>
        <v>0.15118773946360153</v>
      </c>
    </row>
    <row r="212" spans="1:13" x14ac:dyDescent="0.35">
      <c r="A212">
        <v>2210</v>
      </c>
      <c r="B212" s="4">
        <v>45295</v>
      </c>
      <c r="C212" t="s">
        <v>35</v>
      </c>
      <c r="D212" t="s">
        <v>23</v>
      </c>
      <c r="E212" t="s">
        <v>38</v>
      </c>
      <c r="F212" t="s">
        <v>25</v>
      </c>
      <c r="G212" t="s">
        <v>21</v>
      </c>
      <c r="H212">
        <v>4</v>
      </c>
      <c r="I212" s="5">
        <v>65232</v>
      </c>
      <c r="J212" s="5">
        <v>260928</v>
      </c>
      <c r="K212" s="5">
        <v>208491.25</v>
      </c>
      <c r="L212" s="5">
        <v>52436.75</v>
      </c>
      <c r="M212" s="6">
        <f t="shared" si="3"/>
        <v>0.20096252606082904</v>
      </c>
    </row>
    <row r="213" spans="1:13" x14ac:dyDescent="0.35">
      <c r="A213">
        <v>2211</v>
      </c>
      <c r="B213" s="4">
        <v>45627</v>
      </c>
      <c r="C213" t="s">
        <v>27</v>
      </c>
      <c r="D213" t="s">
        <v>23</v>
      </c>
      <c r="E213" t="s">
        <v>38</v>
      </c>
      <c r="F213" t="s">
        <v>25</v>
      </c>
      <c r="G213" t="s">
        <v>39</v>
      </c>
      <c r="H213">
        <v>4</v>
      </c>
      <c r="I213" s="5">
        <v>30988</v>
      </c>
      <c r="J213" s="5">
        <v>123952</v>
      </c>
      <c r="K213" s="5">
        <v>86170.15</v>
      </c>
      <c r="L213" s="5">
        <v>37781.85</v>
      </c>
      <c r="M213" s="6">
        <f t="shared" si="3"/>
        <v>0.30481032980508582</v>
      </c>
    </row>
    <row r="214" spans="1:13" x14ac:dyDescent="0.35">
      <c r="A214">
        <v>2212</v>
      </c>
      <c r="B214" s="4">
        <v>45621</v>
      </c>
      <c r="C214" t="s">
        <v>18</v>
      </c>
      <c r="D214" t="s">
        <v>19</v>
      </c>
      <c r="E214" t="s">
        <v>20</v>
      </c>
      <c r="F214" t="s">
        <v>16</v>
      </c>
      <c r="G214" t="s">
        <v>31</v>
      </c>
      <c r="H214">
        <v>1</v>
      </c>
      <c r="I214" s="5">
        <v>24156</v>
      </c>
      <c r="J214" s="5">
        <v>24156</v>
      </c>
      <c r="K214" s="5">
        <v>17322.349999999999</v>
      </c>
      <c r="L214" s="5">
        <v>6833.65</v>
      </c>
      <c r="M214" s="6">
        <f t="shared" si="3"/>
        <v>0.28289658883921176</v>
      </c>
    </row>
    <row r="215" spans="1:13" x14ac:dyDescent="0.35">
      <c r="A215">
        <v>2213</v>
      </c>
      <c r="B215" s="4">
        <v>45428</v>
      </c>
      <c r="C215" t="s">
        <v>35</v>
      </c>
      <c r="D215" t="s">
        <v>14</v>
      </c>
      <c r="E215" t="s">
        <v>40</v>
      </c>
      <c r="F215" t="s">
        <v>25</v>
      </c>
      <c r="G215" t="s">
        <v>26</v>
      </c>
      <c r="H215">
        <v>5</v>
      </c>
      <c r="I215" s="5">
        <v>65154</v>
      </c>
      <c r="J215" s="5">
        <v>325770</v>
      </c>
      <c r="K215" s="5">
        <v>256428.79</v>
      </c>
      <c r="L215" s="5">
        <v>69341.210000000006</v>
      </c>
      <c r="M215" s="6">
        <f t="shared" si="3"/>
        <v>0.21285327071246588</v>
      </c>
    </row>
    <row r="216" spans="1:13" x14ac:dyDescent="0.35">
      <c r="A216">
        <v>2214</v>
      </c>
      <c r="B216" s="4">
        <v>45620</v>
      </c>
      <c r="C216" t="s">
        <v>18</v>
      </c>
      <c r="D216" t="s">
        <v>42</v>
      </c>
      <c r="E216" t="s">
        <v>43</v>
      </c>
      <c r="F216" t="s">
        <v>25</v>
      </c>
      <c r="G216" t="s">
        <v>36</v>
      </c>
      <c r="H216">
        <v>2</v>
      </c>
      <c r="I216" s="5">
        <v>19196</v>
      </c>
      <c r="J216" s="5">
        <v>38392</v>
      </c>
      <c r="K216" s="5">
        <v>31712.14</v>
      </c>
      <c r="L216" s="5">
        <v>6679.86</v>
      </c>
      <c r="M216" s="6">
        <f t="shared" si="3"/>
        <v>0.17399093561158574</v>
      </c>
    </row>
    <row r="217" spans="1:13" x14ac:dyDescent="0.35">
      <c r="A217">
        <v>2215</v>
      </c>
      <c r="B217" s="4">
        <v>45412</v>
      </c>
      <c r="C217" t="s">
        <v>13</v>
      </c>
      <c r="D217" t="s">
        <v>19</v>
      </c>
      <c r="E217" t="s">
        <v>44</v>
      </c>
      <c r="F217" t="s">
        <v>25</v>
      </c>
      <c r="G217" t="s">
        <v>36</v>
      </c>
      <c r="H217">
        <v>2</v>
      </c>
      <c r="I217" s="5">
        <v>28864</v>
      </c>
      <c r="J217" s="5">
        <v>57728</v>
      </c>
      <c r="K217" s="5">
        <v>46137.97</v>
      </c>
      <c r="L217" s="5">
        <v>11590.03</v>
      </c>
      <c r="M217" s="6">
        <f t="shared" si="3"/>
        <v>0.20076964384700666</v>
      </c>
    </row>
    <row r="218" spans="1:13" x14ac:dyDescent="0.35">
      <c r="A218">
        <v>2216</v>
      </c>
      <c r="B218" s="4">
        <v>45460</v>
      </c>
      <c r="C218" t="s">
        <v>13</v>
      </c>
      <c r="D218" t="s">
        <v>14</v>
      </c>
      <c r="E218" t="s">
        <v>15</v>
      </c>
      <c r="F218" t="s">
        <v>16</v>
      </c>
      <c r="G218" t="s">
        <v>17</v>
      </c>
      <c r="H218">
        <v>5</v>
      </c>
      <c r="I218" s="5">
        <v>39348</v>
      </c>
      <c r="J218" s="5">
        <v>196740</v>
      </c>
      <c r="K218" s="5">
        <v>142811.56</v>
      </c>
      <c r="L218" s="5">
        <v>53928.44</v>
      </c>
      <c r="M218" s="6">
        <f t="shared" si="3"/>
        <v>0.27411019619802784</v>
      </c>
    </row>
    <row r="219" spans="1:13" x14ac:dyDescent="0.35">
      <c r="A219">
        <v>2217</v>
      </c>
      <c r="B219" s="4">
        <v>45563</v>
      </c>
      <c r="C219" t="s">
        <v>22</v>
      </c>
      <c r="D219" t="s">
        <v>42</v>
      </c>
      <c r="E219" t="s">
        <v>43</v>
      </c>
      <c r="F219" t="s">
        <v>25</v>
      </c>
      <c r="G219" t="s">
        <v>17</v>
      </c>
      <c r="H219">
        <v>1</v>
      </c>
      <c r="I219" s="5">
        <v>11475</v>
      </c>
      <c r="J219" s="5">
        <v>11475</v>
      </c>
      <c r="K219" s="5">
        <v>8462.16</v>
      </c>
      <c r="L219" s="5">
        <v>3012.84</v>
      </c>
      <c r="M219" s="6">
        <f t="shared" si="3"/>
        <v>0.26255686274509804</v>
      </c>
    </row>
    <row r="220" spans="1:13" x14ac:dyDescent="0.35">
      <c r="A220">
        <v>2218</v>
      </c>
      <c r="B220" s="4">
        <v>45400</v>
      </c>
      <c r="C220" t="s">
        <v>32</v>
      </c>
      <c r="D220" t="s">
        <v>33</v>
      </c>
      <c r="E220" t="s">
        <v>41</v>
      </c>
      <c r="F220" t="s">
        <v>16</v>
      </c>
      <c r="G220" t="s">
        <v>36</v>
      </c>
      <c r="H220">
        <v>4</v>
      </c>
      <c r="I220" s="5">
        <v>18197</v>
      </c>
      <c r="J220" s="5">
        <v>72788</v>
      </c>
      <c r="K220" s="5">
        <v>55540.22</v>
      </c>
      <c r="L220" s="5">
        <v>17247.78</v>
      </c>
      <c r="M220" s="6">
        <f t="shared" si="3"/>
        <v>0.23695911413969334</v>
      </c>
    </row>
    <row r="221" spans="1:13" x14ac:dyDescent="0.35">
      <c r="A221">
        <v>2219</v>
      </c>
      <c r="B221" s="4">
        <v>45305</v>
      </c>
      <c r="C221" t="s">
        <v>13</v>
      </c>
      <c r="D221" t="s">
        <v>33</v>
      </c>
      <c r="E221" t="s">
        <v>34</v>
      </c>
      <c r="F221" t="s">
        <v>25</v>
      </c>
      <c r="G221" t="s">
        <v>26</v>
      </c>
      <c r="H221">
        <v>1</v>
      </c>
      <c r="I221" s="5">
        <v>21982</v>
      </c>
      <c r="J221" s="5">
        <v>21982</v>
      </c>
      <c r="K221" s="5">
        <v>17022.73</v>
      </c>
      <c r="L221" s="5">
        <v>4959.2700000000004</v>
      </c>
      <c r="M221" s="6">
        <f t="shared" si="3"/>
        <v>0.22560595032299155</v>
      </c>
    </row>
    <row r="222" spans="1:13" x14ac:dyDescent="0.35">
      <c r="A222">
        <v>2220</v>
      </c>
      <c r="B222" s="4">
        <v>45650</v>
      </c>
      <c r="C222" t="s">
        <v>18</v>
      </c>
      <c r="D222" t="s">
        <v>33</v>
      </c>
      <c r="E222" t="s">
        <v>34</v>
      </c>
      <c r="F222" t="s">
        <v>25</v>
      </c>
      <c r="G222" t="s">
        <v>31</v>
      </c>
      <c r="H222">
        <v>1</v>
      </c>
      <c r="I222" s="5">
        <v>12046</v>
      </c>
      <c r="J222" s="5">
        <v>12046</v>
      </c>
      <c r="K222" s="5">
        <v>7930.24</v>
      </c>
      <c r="L222" s="5">
        <v>4115.76</v>
      </c>
      <c r="M222" s="6">
        <f t="shared" si="3"/>
        <v>0.34167026398804584</v>
      </c>
    </row>
    <row r="223" spans="1:13" x14ac:dyDescent="0.35">
      <c r="A223">
        <v>2221</v>
      </c>
      <c r="B223" s="4">
        <v>45315</v>
      </c>
      <c r="C223" t="s">
        <v>35</v>
      </c>
      <c r="D223" t="s">
        <v>19</v>
      </c>
      <c r="E223" t="s">
        <v>44</v>
      </c>
      <c r="F223" t="s">
        <v>25</v>
      </c>
      <c r="G223" t="s">
        <v>26</v>
      </c>
      <c r="H223">
        <v>1</v>
      </c>
      <c r="I223" s="5">
        <v>55632</v>
      </c>
      <c r="J223" s="5">
        <v>55632</v>
      </c>
      <c r="K223" s="5">
        <v>38378.43</v>
      </c>
      <c r="L223" s="5">
        <v>17253.57</v>
      </c>
      <c r="M223" s="6">
        <f t="shared" si="3"/>
        <v>0.31013751078515961</v>
      </c>
    </row>
    <row r="224" spans="1:13" x14ac:dyDescent="0.35">
      <c r="A224">
        <v>2222</v>
      </c>
      <c r="B224" s="4">
        <v>45656</v>
      </c>
      <c r="C224" t="s">
        <v>35</v>
      </c>
      <c r="D224" t="s">
        <v>42</v>
      </c>
      <c r="E224" t="s">
        <v>43</v>
      </c>
      <c r="F224" t="s">
        <v>25</v>
      </c>
      <c r="G224" t="s">
        <v>26</v>
      </c>
      <c r="H224">
        <v>4</v>
      </c>
      <c r="I224" s="5">
        <v>22039</v>
      </c>
      <c r="J224" s="5">
        <v>88156</v>
      </c>
      <c r="K224" s="5">
        <v>61648.86</v>
      </c>
      <c r="L224" s="5">
        <v>26507.14</v>
      </c>
      <c r="M224" s="6">
        <f t="shared" si="3"/>
        <v>0.30068446844230684</v>
      </c>
    </row>
    <row r="225" spans="1:13" x14ac:dyDescent="0.35">
      <c r="A225">
        <v>2223</v>
      </c>
      <c r="B225" s="4">
        <v>45309</v>
      </c>
      <c r="C225" t="s">
        <v>27</v>
      </c>
      <c r="D225" t="s">
        <v>33</v>
      </c>
      <c r="E225" t="s">
        <v>41</v>
      </c>
      <c r="F225" t="s">
        <v>16</v>
      </c>
      <c r="G225" t="s">
        <v>26</v>
      </c>
      <c r="H225">
        <v>1</v>
      </c>
      <c r="I225" s="5">
        <v>45665</v>
      </c>
      <c r="J225" s="5">
        <v>45665</v>
      </c>
      <c r="K225" s="5">
        <v>34039.74</v>
      </c>
      <c r="L225" s="5">
        <v>11625.26</v>
      </c>
      <c r="M225" s="6">
        <f t="shared" si="3"/>
        <v>0.25457702835869922</v>
      </c>
    </row>
    <row r="226" spans="1:13" x14ac:dyDescent="0.35">
      <c r="A226">
        <v>2224</v>
      </c>
      <c r="B226" s="4">
        <v>45396</v>
      </c>
      <c r="C226" t="s">
        <v>27</v>
      </c>
      <c r="D226" t="s">
        <v>33</v>
      </c>
      <c r="E226" t="s">
        <v>34</v>
      </c>
      <c r="F226" t="s">
        <v>25</v>
      </c>
      <c r="G226" t="s">
        <v>39</v>
      </c>
      <c r="H226">
        <v>3</v>
      </c>
      <c r="I226" s="5">
        <v>49830</v>
      </c>
      <c r="J226" s="5">
        <v>149490</v>
      </c>
      <c r="K226" s="5">
        <v>107229.65</v>
      </c>
      <c r="L226" s="5">
        <v>42260.35</v>
      </c>
      <c r="M226" s="6">
        <f t="shared" si="3"/>
        <v>0.28269683590875644</v>
      </c>
    </row>
    <row r="227" spans="1:13" x14ac:dyDescent="0.35">
      <c r="A227">
        <v>2225</v>
      </c>
      <c r="B227" s="4">
        <v>45423</v>
      </c>
      <c r="C227" t="s">
        <v>27</v>
      </c>
      <c r="D227" t="s">
        <v>14</v>
      </c>
      <c r="E227" t="s">
        <v>40</v>
      </c>
      <c r="F227" t="s">
        <v>25</v>
      </c>
      <c r="G227" t="s">
        <v>36</v>
      </c>
      <c r="H227">
        <v>3</v>
      </c>
      <c r="I227" s="5">
        <v>14344</v>
      </c>
      <c r="J227" s="5">
        <v>43032</v>
      </c>
      <c r="K227" s="5">
        <v>34130.94</v>
      </c>
      <c r="L227" s="5">
        <v>8901.06</v>
      </c>
      <c r="M227" s="6">
        <f t="shared" si="3"/>
        <v>0.2068474623535973</v>
      </c>
    </row>
    <row r="228" spans="1:13" x14ac:dyDescent="0.35">
      <c r="A228">
        <v>2226</v>
      </c>
      <c r="B228" s="4">
        <v>45549</v>
      </c>
      <c r="C228" t="s">
        <v>18</v>
      </c>
      <c r="D228" t="s">
        <v>14</v>
      </c>
      <c r="E228" t="s">
        <v>15</v>
      </c>
      <c r="F228" t="s">
        <v>16</v>
      </c>
      <c r="G228" t="s">
        <v>21</v>
      </c>
      <c r="H228">
        <v>4</v>
      </c>
      <c r="I228" s="5">
        <v>45702</v>
      </c>
      <c r="J228" s="5">
        <v>182808</v>
      </c>
      <c r="K228" s="5">
        <v>141430.35</v>
      </c>
      <c r="L228" s="5">
        <v>41377.65</v>
      </c>
      <c r="M228" s="6">
        <f t="shared" si="3"/>
        <v>0.22634485361690956</v>
      </c>
    </row>
    <row r="229" spans="1:13" x14ac:dyDescent="0.35">
      <c r="A229">
        <v>2227</v>
      </c>
      <c r="B229" s="4">
        <v>45307</v>
      </c>
      <c r="C229" t="s">
        <v>37</v>
      </c>
      <c r="D229" t="s">
        <v>19</v>
      </c>
      <c r="E229" t="s">
        <v>44</v>
      </c>
      <c r="F229" t="s">
        <v>25</v>
      </c>
      <c r="G229" t="s">
        <v>17</v>
      </c>
      <c r="H229">
        <v>4</v>
      </c>
      <c r="I229" s="5">
        <v>75976</v>
      </c>
      <c r="J229" s="5">
        <v>303904</v>
      </c>
      <c r="K229" s="5">
        <v>244522.73</v>
      </c>
      <c r="L229" s="5">
        <v>59381.27</v>
      </c>
      <c r="M229" s="6">
        <f t="shared" si="3"/>
        <v>0.19539482863009369</v>
      </c>
    </row>
    <row r="230" spans="1:13" x14ac:dyDescent="0.35">
      <c r="A230">
        <v>2228</v>
      </c>
      <c r="B230" s="4">
        <v>45316</v>
      </c>
      <c r="C230" t="s">
        <v>22</v>
      </c>
      <c r="D230" t="s">
        <v>14</v>
      </c>
      <c r="E230" t="s">
        <v>15</v>
      </c>
      <c r="F230" t="s">
        <v>16</v>
      </c>
      <c r="G230" t="s">
        <v>39</v>
      </c>
      <c r="H230">
        <v>5</v>
      </c>
      <c r="I230" s="5">
        <v>36386</v>
      </c>
      <c r="J230" s="5">
        <v>181930</v>
      </c>
      <c r="K230" s="5">
        <v>144248.29999999999</v>
      </c>
      <c r="L230" s="5">
        <v>37681.699999999997</v>
      </c>
      <c r="M230" s="6">
        <f t="shared" si="3"/>
        <v>0.20712196998845708</v>
      </c>
    </row>
    <row r="231" spans="1:13" x14ac:dyDescent="0.35">
      <c r="A231">
        <v>2229</v>
      </c>
      <c r="B231" s="4">
        <v>45379</v>
      </c>
      <c r="C231" t="s">
        <v>32</v>
      </c>
      <c r="D231" t="s">
        <v>19</v>
      </c>
      <c r="E231" t="s">
        <v>20</v>
      </c>
      <c r="F231" t="s">
        <v>16</v>
      </c>
      <c r="G231" t="s">
        <v>36</v>
      </c>
      <c r="H231">
        <v>4</v>
      </c>
      <c r="I231" s="5">
        <v>8170</v>
      </c>
      <c r="J231" s="5">
        <v>32680</v>
      </c>
      <c r="K231" s="5">
        <v>24663.96</v>
      </c>
      <c r="L231" s="5">
        <v>8016.04</v>
      </c>
      <c r="M231" s="6">
        <f t="shared" si="3"/>
        <v>0.24528886168910649</v>
      </c>
    </row>
    <row r="232" spans="1:13" x14ac:dyDescent="0.35">
      <c r="A232">
        <v>2230</v>
      </c>
      <c r="B232" s="4">
        <v>45294</v>
      </c>
      <c r="C232" t="s">
        <v>37</v>
      </c>
      <c r="D232" t="s">
        <v>14</v>
      </c>
      <c r="E232" t="s">
        <v>40</v>
      </c>
      <c r="F232" t="s">
        <v>25</v>
      </c>
      <c r="G232" t="s">
        <v>26</v>
      </c>
      <c r="H232">
        <v>3</v>
      </c>
      <c r="I232" s="5">
        <v>72333</v>
      </c>
      <c r="J232" s="5">
        <v>216999</v>
      </c>
      <c r="K232" s="5">
        <v>145202.23000000001</v>
      </c>
      <c r="L232" s="5">
        <v>71796.77</v>
      </c>
      <c r="M232" s="6">
        <f t="shared" si="3"/>
        <v>0.33086221595491228</v>
      </c>
    </row>
    <row r="233" spans="1:13" x14ac:dyDescent="0.35">
      <c r="A233">
        <v>2231</v>
      </c>
      <c r="B233" s="4">
        <v>45469</v>
      </c>
      <c r="C233" t="s">
        <v>22</v>
      </c>
      <c r="D233" t="s">
        <v>33</v>
      </c>
      <c r="E233" t="s">
        <v>34</v>
      </c>
      <c r="F233" t="s">
        <v>25</v>
      </c>
      <c r="G233" t="s">
        <v>21</v>
      </c>
      <c r="H233">
        <v>5</v>
      </c>
      <c r="I233" s="5">
        <v>42154</v>
      </c>
      <c r="J233" s="5">
        <v>210770</v>
      </c>
      <c r="K233" s="5">
        <v>161365.82</v>
      </c>
      <c r="L233" s="5">
        <v>49404.18</v>
      </c>
      <c r="M233" s="6">
        <f t="shared" si="3"/>
        <v>0.23439853869146463</v>
      </c>
    </row>
    <row r="234" spans="1:13" x14ac:dyDescent="0.35">
      <c r="A234">
        <v>2232</v>
      </c>
      <c r="B234" s="4">
        <v>45650</v>
      </c>
      <c r="C234" t="s">
        <v>18</v>
      </c>
      <c r="D234" t="s">
        <v>33</v>
      </c>
      <c r="E234" t="s">
        <v>34</v>
      </c>
      <c r="F234" t="s">
        <v>25</v>
      </c>
      <c r="G234" t="s">
        <v>31</v>
      </c>
      <c r="H234">
        <v>2</v>
      </c>
      <c r="I234" s="5">
        <v>73315</v>
      </c>
      <c r="J234" s="5">
        <v>146630</v>
      </c>
      <c r="K234" s="5">
        <v>100171.49</v>
      </c>
      <c r="L234" s="5">
        <v>46458.51</v>
      </c>
      <c r="M234" s="6">
        <f t="shared" si="3"/>
        <v>0.31684177862647483</v>
      </c>
    </row>
    <row r="235" spans="1:13" x14ac:dyDescent="0.35">
      <c r="A235">
        <v>2233</v>
      </c>
      <c r="B235" s="4">
        <v>45579</v>
      </c>
      <c r="C235" t="s">
        <v>22</v>
      </c>
      <c r="D235" t="s">
        <v>19</v>
      </c>
      <c r="E235" t="s">
        <v>20</v>
      </c>
      <c r="F235" t="s">
        <v>16</v>
      </c>
      <c r="G235" t="s">
        <v>39</v>
      </c>
      <c r="H235">
        <v>1</v>
      </c>
      <c r="I235" s="5">
        <v>50813</v>
      </c>
      <c r="J235" s="5">
        <v>50813</v>
      </c>
      <c r="K235" s="5">
        <v>36642.44</v>
      </c>
      <c r="L235" s="5">
        <v>14170.56</v>
      </c>
      <c r="M235" s="6">
        <f t="shared" si="3"/>
        <v>0.27887666542026646</v>
      </c>
    </row>
    <row r="236" spans="1:13" x14ac:dyDescent="0.35">
      <c r="A236">
        <v>2234</v>
      </c>
      <c r="B236" s="4">
        <v>45336</v>
      </c>
      <c r="C236" t="s">
        <v>22</v>
      </c>
      <c r="D236" t="s">
        <v>23</v>
      </c>
      <c r="E236" t="s">
        <v>24</v>
      </c>
      <c r="F236" t="s">
        <v>25</v>
      </c>
      <c r="G236" t="s">
        <v>39</v>
      </c>
      <c r="H236">
        <v>4</v>
      </c>
      <c r="I236" s="5">
        <v>11299</v>
      </c>
      <c r="J236" s="5">
        <v>45196</v>
      </c>
      <c r="K236" s="5">
        <v>32739.53</v>
      </c>
      <c r="L236" s="5">
        <v>12456.47</v>
      </c>
      <c r="M236" s="6">
        <f t="shared" si="3"/>
        <v>0.27561000973537481</v>
      </c>
    </row>
    <row r="237" spans="1:13" x14ac:dyDescent="0.35">
      <c r="A237">
        <v>2235</v>
      </c>
      <c r="B237" s="4">
        <v>45571</v>
      </c>
      <c r="C237" t="s">
        <v>18</v>
      </c>
      <c r="D237" t="s">
        <v>14</v>
      </c>
      <c r="E237" t="s">
        <v>40</v>
      </c>
      <c r="F237" t="s">
        <v>25</v>
      </c>
      <c r="G237" t="s">
        <v>17</v>
      </c>
      <c r="H237">
        <v>5</v>
      </c>
      <c r="I237" s="5">
        <v>30427</v>
      </c>
      <c r="J237" s="5">
        <v>152135</v>
      </c>
      <c r="K237" s="5">
        <v>110428.87</v>
      </c>
      <c r="L237" s="5">
        <v>41706.129999999997</v>
      </c>
      <c r="M237" s="6">
        <f t="shared" si="3"/>
        <v>0.27413895553291484</v>
      </c>
    </row>
    <row r="238" spans="1:13" x14ac:dyDescent="0.35">
      <c r="A238">
        <v>2236</v>
      </c>
      <c r="B238" s="4">
        <v>45564</v>
      </c>
      <c r="C238" t="s">
        <v>22</v>
      </c>
      <c r="D238" t="s">
        <v>33</v>
      </c>
      <c r="E238" t="s">
        <v>41</v>
      </c>
      <c r="F238" t="s">
        <v>16</v>
      </c>
      <c r="G238" t="s">
        <v>31</v>
      </c>
      <c r="H238">
        <v>5</v>
      </c>
      <c r="I238" s="5">
        <v>12441</v>
      </c>
      <c r="J238" s="5">
        <v>62205</v>
      </c>
      <c r="K238" s="5">
        <v>44768.76</v>
      </c>
      <c r="L238" s="5">
        <v>17436.240000000002</v>
      </c>
      <c r="M238" s="6">
        <f t="shared" si="3"/>
        <v>0.28030286954424888</v>
      </c>
    </row>
    <row r="239" spans="1:13" x14ac:dyDescent="0.35">
      <c r="A239">
        <v>2237</v>
      </c>
      <c r="B239" s="4">
        <v>45522</v>
      </c>
      <c r="C239" t="s">
        <v>32</v>
      </c>
      <c r="D239" t="s">
        <v>14</v>
      </c>
      <c r="E239" t="s">
        <v>15</v>
      </c>
      <c r="F239" t="s">
        <v>16</v>
      </c>
      <c r="G239" t="s">
        <v>31</v>
      </c>
      <c r="H239">
        <v>5</v>
      </c>
      <c r="I239" s="5">
        <v>50380</v>
      </c>
      <c r="J239" s="5">
        <v>251900</v>
      </c>
      <c r="K239" s="5">
        <v>172276.96</v>
      </c>
      <c r="L239" s="5">
        <v>79623.039999999994</v>
      </c>
      <c r="M239" s="6">
        <f t="shared" si="3"/>
        <v>0.31608987693529178</v>
      </c>
    </row>
    <row r="240" spans="1:13" x14ac:dyDescent="0.35">
      <c r="A240">
        <v>2238</v>
      </c>
      <c r="B240" s="4">
        <v>45588</v>
      </c>
      <c r="C240" t="s">
        <v>35</v>
      </c>
      <c r="D240" t="s">
        <v>23</v>
      </c>
      <c r="E240" t="s">
        <v>38</v>
      </c>
      <c r="F240" t="s">
        <v>25</v>
      </c>
      <c r="G240" t="s">
        <v>36</v>
      </c>
      <c r="H240">
        <v>2</v>
      </c>
      <c r="I240" s="5">
        <v>24522</v>
      </c>
      <c r="J240" s="5">
        <v>49044</v>
      </c>
      <c r="K240" s="5">
        <v>35155.269999999997</v>
      </c>
      <c r="L240" s="5">
        <v>13888.73</v>
      </c>
      <c r="M240" s="6">
        <f t="shared" si="3"/>
        <v>0.28318917706549218</v>
      </c>
    </row>
    <row r="241" spans="1:13" x14ac:dyDescent="0.35">
      <c r="A241">
        <v>2239</v>
      </c>
      <c r="B241" s="4">
        <v>45428</v>
      </c>
      <c r="C241" t="s">
        <v>32</v>
      </c>
      <c r="D241" t="s">
        <v>33</v>
      </c>
      <c r="E241" t="s">
        <v>41</v>
      </c>
      <c r="F241" t="s">
        <v>16</v>
      </c>
      <c r="G241" t="s">
        <v>31</v>
      </c>
      <c r="H241">
        <v>3</v>
      </c>
      <c r="I241" s="5">
        <v>28262</v>
      </c>
      <c r="J241" s="5">
        <v>84786</v>
      </c>
      <c r="K241" s="5">
        <v>67376.649999999994</v>
      </c>
      <c r="L241" s="5">
        <v>17409.349999999999</v>
      </c>
      <c r="M241" s="6">
        <f t="shared" si="3"/>
        <v>0.20533283796853252</v>
      </c>
    </row>
    <row r="242" spans="1:13" x14ac:dyDescent="0.35">
      <c r="A242">
        <v>2240</v>
      </c>
      <c r="B242" s="4">
        <v>45600</v>
      </c>
      <c r="C242" t="s">
        <v>35</v>
      </c>
      <c r="D242" t="s">
        <v>33</v>
      </c>
      <c r="E242" t="s">
        <v>41</v>
      </c>
      <c r="F242" t="s">
        <v>16</v>
      </c>
      <c r="G242" t="s">
        <v>36</v>
      </c>
      <c r="H242">
        <v>5</v>
      </c>
      <c r="I242" s="5">
        <v>53695</v>
      </c>
      <c r="J242" s="5">
        <v>268475</v>
      </c>
      <c r="K242" s="5">
        <v>183149.58</v>
      </c>
      <c r="L242" s="5">
        <v>85325.42</v>
      </c>
      <c r="M242" s="6">
        <f t="shared" si="3"/>
        <v>0.31781514107458797</v>
      </c>
    </row>
    <row r="243" spans="1:13" x14ac:dyDescent="0.35">
      <c r="A243">
        <v>2241</v>
      </c>
      <c r="B243" s="4">
        <v>45344</v>
      </c>
      <c r="C243" t="s">
        <v>13</v>
      </c>
      <c r="D243" t="s">
        <v>14</v>
      </c>
      <c r="E243" t="s">
        <v>15</v>
      </c>
      <c r="F243" t="s">
        <v>16</v>
      </c>
      <c r="G243" t="s">
        <v>36</v>
      </c>
      <c r="H243">
        <v>2</v>
      </c>
      <c r="I243" s="5">
        <v>21321</v>
      </c>
      <c r="J243" s="5">
        <v>42642</v>
      </c>
      <c r="K243" s="5">
        <v>29384.02</v>
      </c>
      <c r="L243" s="5">
        <v>13257.98</v>
      </c>
      <c r="M243" s="6">
        <f t="shared" si="3"/>
        <v>0.31091365320575959</v>
      </c>
    </row>
    <row r="244" spans="1:13" x14ac:dyDescent="0.35">
      <c r="A244">
        <v>2242</v>
      </c>
      <c r="B244" s="4">
        <v>45444</v>
      </c>
      <c r="C244" t="s">
        <v>13</v>
      </c>
      <c r="D244" t="s">
        <v>33</v>
      </c>
      <c r="E244" t="s">
        <v>34</v>
      </c>
      <c r="F244" t="s">
        <v>25</v>
      </c>
      <c r="G244" t="s">
        <v>36</v>
      </c>
      <c r="H244">
        <v>4</v>
      </c>
      <c r="I244" s="5">
        <v>43890</v>
      </c>
      <c r="J244" s="5">
        <v>175560</v>
      </c>
      <c r="K244" s="5">
        <v>121002.66</v>
      </c>
      <c r="L244" s="5">
        <v>54557.34</v>
      </c>
      <c r="M244" s="6">
        <f t="shared" si="3"/>
        <v>0.31076179084073818</v>
      </c>
    </row>
    <row r="245" spans="1:13" x14ac:dyDescent="0.35">
      <c r="A245">
        <v>2243</v>
      </c>
      <c r="B245" s="4">
        <v>45490</v>
      </c>
      <c r="C245" t="s">
        <v>18</v>
      </c>
      <c r="D245" t="s">
        <v>19</v>
      </c>
      <c r="E245" t="s">
        <v>20</v>
      </c>
      <c r="F245" t="s">
        <v>16</v>
      </c>
      <c r="G245" t="s">
        <v>31</v>
      </c>
      <c r="H245">
        <v>4</v>
      </c>
      <c r="I245" s="5">
        <v>12447</v>
      </c>
      <c r="J245" s="5">
        <v>49788</v>
      </c>
      <c r="K245" s="5">
        <v>32487.84</v>
      </c>
      <c r="L245" s="5">
        <v>17300.16</v>
      </c>
      <c r="M245" s="6">
        <f t="shared" si="3"/>
        <v>0.34747650036153288</v>
      </c>
    </row>
    <row r="246" spans="1:13" x14ac:dyDescent="0.35">
      <c r="A246">
        <v>2244</v>
      </c>
      <c r="B246" s="4">
        <v>45548</v>
      </c>
      <c r="C246" t="s">
        <v>35</v>
      </c>
      <c r="D246" t="s">
        <v>23</v>
      </c>
      <c r="E246" t="s">
        <v>24</v>
      </c>
      <c r="F246" t="s">
        <v>25</v>
      </c>
      <c r="G246" t="s">
        <v>31</v>
      </c>
      <c r="H246">
        <v>3</v>
      </c>
      <c r="I246" s="5">
        <v>68722</v>
      </c>
      <c r="J246" s="5">
        <v>206166</v>
      </c>
      <c r="K246" s="5">
        <v>134919.87</v>
      </c>
      <c r="L246" s="5">
        <v>71246.13</v>
      </c>
      <c r="M246" s="6">
        <f t="shared" si="3"/>
        <v>0.34557652571229014</v>
      </c>
    </row>
    <row r="247" spans="1:13" x14ac:dyDescent="0.35">
      <c r="A247">
        <v>2245</v>
      </c>
      <c r="B247" s="4">
        <v>45499</v>
      </c>
      <c r="C247" t="s">
        <v>32</v>
      </c>
      <c r="D247" t="s">
        <v>14</v>
      </c>
      <c r="E247" t="s">
        <v>40</v>
      </c>
      <c r="F247" t="s">
        <v>25</v>
      </c>
      <c r="G247" t="s">
        <v>39</v>
      </c>
      <c r="H247">
        <v>1</v>
      </c>
      <c r="I247" s="5">
        <v>39756</v>
      </c>
      <c r="J247" s="5">
        <v>39756</v>
      </c>
      <c r="K247" s="5">
        <v>33061.120000000003</v>
      </c>
      <c r="L247" s="5">
        <v>6694.88</v>
      </c>
      <c r="M247" s="6">
        <f t="shared" si="3"/>
        <v>0.16839923533554685</v>
      </c>
    </row>
    <row r="248" spans="1:13" x14ac:dyDescent="0.35">
      <c r="A248">
        <v>2246</v>
      </c>
      <c r="B248" s="4">
        <v>45592</v>
      </c>
      <c r="C248" t="s">
        <v>35</v>
      </c>
      <c r="D248" t="s">
        <v>23</v>
      </c>
      <c r="E248" t="s">
        <v>24</v>
      </c>
      <c r="F248" t="s">
        <v>25</v>
      </c>
      <c r="G248" t="s">
        <v>21</v>
      </c>
      <c r="H248">
        <v>4</v>
      </c>
      <c r="I248" s="5">
        <v>37958</v>
      </c>
      <c r="J248" s="5">
        <v>151832</v>
      </c>
      <c r="K248" s="5">
        <v>118972.39</v>
      </c>
      <c r="L248" s="5">
        <v>32859.61</v>
      </c>
      <c r="M248" s="6">
        <f t="shared" si="3"/>
        <v>0.21642084672532799</v>
      </c>
    </row>
    <row r="249" spans="1:13" x14ac:dyDescent="0.35">
      <c r="A249">
        <v>2247</v>
      </c>
      <c r="B249" s="4">
        <v>45639</v>
      </c>
      <c r="C249" t="s">
        <v>37</v>
      </c>
      <c r="D249" t="s">
        <v>28</v>
      </c>
      <c r="E249" t="s">
        <v>29</v>
      </c>
      <c r="F249" t="s">
        <v>30</v>
      </c>
      <c r="G249" t="s">
        <v>31</v>
      </c>
      <c r="H249">
        <v>2</v>
      </c>
      <c r="I249" s="5">
        <v>24281</v>
      </c>
      <c r="J249" s="5">
        <v>48562</v>
      </c>
      <c r="K249" s="5">
        <v>35973.78</v>
      </c>
      <c r="L249" s="5">
        <v>12588.22</v>
      </c>
      <c r="M249" s="6">
        <f t="shared" si="3"/>
        <v>0.25921955438408628</v>
      </c>
    </row>
    <row r="250" spans="1:13" x14ac:dyDescent="0.35">
      <c r="A250">
        <v>2248</v>
      </c>
      <c r="B250" s="4">
        <v>45650</v>
      </c>
      <c r="C250" t="s">
        <v>18</v>
      </c>
      <c r="D250" t="s">
        <v>14</v>
      </c>
      <c r="E250" t="s">
        <v>15</v>
      </c>
      <c r="F250" t="s">
        <v>16</v>
      </c>
      <c r="G250" t="s">
        <v>39</v>
      </c>
      <c r="H250">
        <v>1</v>
      </c>
      <c r="I250" s="5">
        <v>62995</v>
      </c>
      <c r="J250" s="5">
        <v>62995</v>
      </c>
      <c r="K250" s="5">
        <v>44000.7</v>
      </c>
      <c r="L250" s="5">
        <v>18994.3</v>
      </c>
      <c r="M250" s="6">
        <f t="shared" si="3"/>
        <v>0.30152075561552505</v>
      </c>
    </row>
    <row r="251" spans="1:13" x14ac:dyDescent="0.35">
      <c r="A251">
        <v>2249</v>
      </c>
      <c r="B251" s="4">
        <v>45614</v>
      </c>
      <c r="C251" t="s">
        <v>35</v>
      </c>
      <c r="D251" t="s">
        <v>23</v>
      </c>
      <c r="E251" t="s">
        <v>24</v>
      </c>
      <c r="F251" t="s">
        <v>25</v>
      </c>
      <c r="G251" t="s">
        <v>39</v>
      </c>
      <c r="H251">
        <v>2</v>
      </c>
      <c r="I251" s="5">
        <v>40775</v>
      </c>
      <c r="J251" s="5">
        <v>81550</v>
      </c>
      <c r="K251" s="5">
        <v>66861.89</v>
      </c>
      <c r="L251" s="5">
        <v>14688.11</v>
      </c>
      <c r="M251" s="6">
        <f t="shared" si="3"/>
        <v>0.18011171060698958</v>
      </c>
    </row>
    <row r="252" spans="1:13" x14ac:dyDescent="0.35">
      <c r="A252">
        <v>2250</v>
      </c>
      <c r="B252" s="4">
        <v>45610</v>
      </c>
      <c r="C252" t="s">
        <v>22</v>
      </c>
      <c r="D252" t="s">
        <v>23</v>
      </c>
      <c r="E252" t="s">
        <v>38</v>
      </c>
      <c r="F252" t="s">
        <v>25</v>
      </c>
      <c r="G252" t="s">
        <v>26</v>
      </c>
      <c r="H252">
        <v>4</v>
      </c>
      <c r="I252" s="5">
        <v>75928</v>
      </c>
      <c r="J252" s="5">
        <v>303712</v>
      </c>
      <c r="K252" s="5">
        <v>238428.79999999999</v>
      </c>
      <c r="L252" s="5">
        <v>65283.199999999997</v>
      </c>
      <c r="M252" s="6">
        <f t="shared" si="3"/>
        <v>0.21495100621641555</v>
      </c>
    </row>
    <row r="253" spans="1:13" x14ac:dyDescent="0.35">
      <c r="A253">
        <v>2251</v>
      </c>
      <c r="B253" s="4">
        <v>45297</v>
      </c>
      <c r="C253" t="s">
        <v>35</v>
      </c>
      <c r="D253" t="s">
        <v>33</v>
      </c>
      <c r="E253" t="s">
        <v>34</v>
      </c>
      <c r="F253" t="s">
        <v>25</v>
      </c>
      <c r="G253" t="s">
        <v>36</v>
      </c>
      <c r="H253">
        <v>4</v>
      </c>
      <c r="I253" s="5">
        <v>72204</v>
      </c>
      <c r="J253" s="5">
        <v>288816</v>
      </c>
      <c r="K253" s="5">
        <v>240190.47</v>
      </c>
      <c r="L253" s="5">
        <v>48625.53</v>
      </c>
      <c r="M253" s="6">
        <f t="shared" si="3"/>
        <v>0.16836162123982051</v>
      </c>
    </row>
    <row r="254" spans="1:13" x14ac:dyDescent="0.35">
      <c r="A254">
        <v>2252</v>
      </c>
      <c r="B254" s="4">
        <v>45570</v>
      </c>
      <c r="C254" t="s">
        <v>27</v>
      </c>
      <c r="D254" t="s">
        <v>19</v>
      </c>
      <c r="E254" t="s">
        <v>20</v>
      </c>
      <c r="F254" t="s">
        <v>16</v>
      </c>
      <c r="G254" t="s">
        <v>36</v>
      </c>
      <c r="H254">
        <v>2</v>
      </c>
      <c r="I254" s="5">
        <v>29081</v>
      </c>
      <c r="J254" s="5">
        <v>58162</v>
      </c>
      <c r="K254" s="5">
        <v>46136.61</v>
      </c>
      <c r="L254" s="5">
        <v>12025.39</v>
      </c>
      <c r="M254" s="6">
        <f t="shared" si="3"/>
        <v>0.2067568171658471</v>
      </c>
    </row>
    <row r="255" spans="1:13" x14ac:dyDescent="0.35">
      <c r="A255">
        <v>2253</v>
      </c>
      <c r="B255" s="4">
        <v>45343</v>
      </c>
      <c r="C255" t="s">
        <v>32</v>
      </c>
      <c r="D255" t="s">
        <v>33</v>
      </c>
      <c r="E255" t="s">
        <v>41</v>
      </c>
      <c r="F255" t="s">
        <v>16</v>
      </c>
      <c r="G255" t="s">
        <v>36</v>
      </c>
      <c r="H255">
        <v>5</v>
      </c>
      <c r="I255" s="5">
        <v>67871</v>
      </c>
      <c r="J255" s="5">
        <v>339355</v>
      </c>
      <c r="K255" s="5">
        <v>257301.36</v>
      </c>
      <c r="L255" s="5">
        <v>82053.64</v>
      </c>
      <c r="M255" s="6">
        <f t="shared" si="3"/>
        <v>0.24179293070678198</v>
      </c>
    </row>
    <row r="256" spans="1:13" x14ac:dyDescent="0.35">
      <c r="A256">
        <v>2254</v>
      </c>
      <c r="B256" s="4">
        <v>45619</v>
      </c>
      <c r="C256" t="s">
        <v>32</v>
      </c>
      <c r="D256" t="s">
        <v>23</v>
      </c>
      <c r="E256" t="s">
        <v>38</v>
      </c>
      <c r="F256" t="s">
        <v>25</v>
      </c>
      <c r="G256" t="s">
        <v>26</v>
      </c>
      <c r="H256">
        <v>3</v>
      </c>
      <c r="I256" s="5">
        <v>76378</v>
      </c>
      <c r="J256" s="5">
        <v>229134</v>
      </c>
      <c r="K256" s="5">
        <v>164648.9</v>
      </c>
      <c r="L256" s="5">
        <v>64485.1</v>
      </c>
      <c r="M256" s="6">
        <f t="shared" si="3"/>
        <v>0.28142964378922375</v>
      </c>
    </row>
    <row r="257" spans="1:13" x14ac:dyDescent="0.35">
      <c r="A257">
        <v>2255</v>
      </c>
      <c r="B257" s="4">
        <v>45386</v>
      </c>
      <c r="C257" t="s">
        <v>13</v>
      </c>
      <c r="D257" t="s">
        <v>23</v>
      </c>
      <c r="E257" t="s">
        <v>38</v>
      </c>
      <c r="F257" t="s">
        <v>25</v>
      </c>
      <c r="G257" t="s">
        <v>39</v>
      </c>
      <c r="H257">
        <v>4</v>
      </c>
      <c r="I257" s="5">
        <v>75343</v>
      </c>
      <c r="J257" s="5">
        <v>301372</v>
      </c>
      <c r="K257" s="5">
        <v>241863.18</v>
      </c>
      <c r="L257" s="5">
        <v>59508.82</v>
      </c>
      <c r="M257" s="6">
        <f t="shared" si="3"/>
        <v>0.19745968437678352</v>
      </c>
    </row>
    <row r="258" spans="1:13" x14ac:dyDescent="0.35">
      <c r="A258">
        <v>2256</v>
      </c>
      <c r="B258" s="4">
        <v>45474</v>
      </c>
      <c r="C258" t="s">
        <v>35</v>
      </c>
      <c r="D258" t="s">
        <v>19</v>
      </c>
      <c r="E258" t="s">
        <v>20</v>
      </c>
      <c r="F258" t="s">
        <v>16</v>
      </c>
      <c r="G258" t="s">
        <v>21</v>
      </c>
      <c r="H258">
        <v>1</v>
      </c>
      <c r="I258" s="5">
        <v>41090</v>
      </c>
      <c r="J258" s="5">
        <v>41090</v>
      </c>
      <c r="K258" s="5">
        <v>28963.17</v>
      </c>
      <c r="L258" s="5">
        <v>12126.83</v>
      </c>
      <c r="M258" s="6">
        <f t="shared" si="3"/>
        <v>0.29512849841810657</v>
      </c>
    </row>
    <row r="259" spans="1:13" x14ac:dyDescent="0.35">
      <c r="A259">
        <v>2257</v>
      </c>
      <c r="B259" s="4">
        <v>45330</v>
      </c>
      <c r="C259" t="s">
        <v>27</v>
      </c>
      <c r="D259" t="s">
        <v>23</v>
      </c>
      <c r="E259" t="s">
        <v>24</v>
      </c>
      <c r="F259" t="s">
        <v>25</v>
      </c>
      <c r="G259" t="s">
        <v>26</v>
      </c>
      <c r="H259">
        <v>4</v>
      </c>
      <c r="I259" s="5">
        <v>63121</v>
      </c>
      <c r="J259" s="5">
        <v>252484</v>
      </c>
      <c r="K259" s="5">
        <v>195855.11</v>
      </c>
      <c r="L259" s="5">
        <v>56628.89</v>
      </c>
      <c r="M259" s="6">
        <f t="shared" ref="M259:M322" si="4">L259/J259</f>
        <v>0.22428704393149665</v>
      </c>
    </row>
    <row r="260" spans="1:13" x14ac:dyDescent="0.35">
      <c r="A260">
        <v>2258</v>
      </c>
      <c r="B260" s="4">
        <v>45347</v>
      </c>
      <c r="C260" t="s">
        <v>32</v>
      </c>
      <c r="D260" t="s">
        <v>14</v>
      </c>
      <c r="E260" t="s">
        <v>15</v>
      </c>
      <c r="F260" t="s">
        <v>16</v>
      </c>
      <c r="G260" t="s">
        <v>36</v>
      </c>
      <c r="H260">
        <v>2</v>
      </c>
      <c r="I260" s="5">
        <v>47779</v>
      </c>
      <c r="J260" s="5">
        <v>95558</v>
      </c>
      <c r="K260" s="5">
        <v>76283.39</v>
      </c>
      <c r="L260" s="5">
        <v>19274.61</v>
      </c>
      <c r="M260" s="6">
        <f t="shared" si="4"/>
        <v>0.20170587496598924</v>
      </c>
    </row>
    <row r="261" spans="1:13" x14ac:dyDescent="0.35">
      <c r="A261">
        <v>2259</v>
      </c>
      <c r="B261" s="4">
        <v>45528</v>
      </c>
      <c r="C261" t="s">
        <v>13</v>
      </c>
      <c r="D261" t="s">
        <v>42</v>
      </c>
      <c r="E261" t="s">
        <v>43</v>
      </c>
      <c r="F261" t="s">
        <v>25</v>
      </c>
      <c r="G261" t="s">
        <v>17</v>
      </c>
      <c r="H261">
        <v>2</v>
      </c>
      <c r="I261" s="5">
        <v>29565</v>
      </c>
      <c r="J261" s="5">
        <v>59130</v>
      </c>
      <c r="K261" s="5">
        <v>39963.589999999997</v>
      </c>
      <c r="L261" s="5">
        <v>19166.41</v>
      </c>
      <c r="M261" s="6">
        <f t="shared" si="4"/>
        <v>0.32414019956029089</v>
      </c>
    </row>
    <row r="262" spans="1:13" x14ac:dyDescent="0.35">
      <c r="A262">
        <v>2260</v>
      </c>
      <c r="B262" s="4">
        <v>45390</v>
      </c>
      <c r="C262" t="s">
        <v>37</v>
      </c>
      <c r="D262" t="s">
        <v>19</v>
      </c>
      <c r="E262" t="s">
        <v>20</v>
      </c>
      <c r="F262" t="s">
        <v>16</v>
      </c>
      <c r="G262" t="s">
        <v>39</v>
      </c>
      <c r="H262">
        <v>4</v>
      </c>
      <c r="I262" s="5">
        <v>37620</v>
      </c>
      <c r="J262" s="5">
        <v>150480</v>
      </c>
      <c r="K262" s="5">
        <v>122329.39</v>
      </c>
      <c r="L262" s="5">
        <v>28150.61</v>
      </c>
      <c r="M262" s="6">
        <f t="shared" si="4"/>
        <v>0.18707210260499735</v>
      </c>
    </row>
    <row r="263" spans="1:13" x14ac:dyDescent="0.35">
      <c r="A263">
        <v>2261</v>
      </c>
      <c r="B263" s="4">
        <v>45619</v>
      </c>
      <c r="C263" t="s">
        <v>18</v>
      </c>
      <c r="D263" t="s">
        <v>33</v>
      </c>
      <c r="E263" t="s">
        <v>34</v>
      </c>
      <c r="F263" t="s">
        <v>25</v>
      </c>
      <c r="G263" t="s">
        <v>39</v>
      </c>
      <c r="H263">
        <v>4</v>
      </c>
      <c r="I263" s="5">
        <v>69354</v>
      </c>
      <c r="J263" s="5">
        <v>277416</v>
      </c>
      <c r="K263" s="5">
        <v>235589.36</v>
      </c>
      <c r="L263" s="5">
        <v>41826.639999999999</v>
      </c>
      <c r="M263" s="6">
        <f t="shared" si="4"/>
        <v>0.15077226980419298</v>
      </c>
    </row>
    <row r="264" spans="1:13" x14ac:dyDescent="0.35">
      <c r="A264">
        <v>2262</v>
      </c>
      <c r="B264" s="4">
        <v>45532</v>
      </c>
      <c r="C264" t="s">
        <v>35</v>
      </c>
      <c r="D264" t="s">
        <v>42</v>
      </c>
      <c r="E264" t="s">
        <v>43</v>
      </c>
      <c r="F264" t="s">
        <v>25</v>
      </c>
      <c r="G264" t="s">
        <v>31</v>
      </c>
      <c r="H264">
        <v>3</v>
      </c>
      <c r="I264" s="5">
        <v>38206</v>
      </c>
      <c r="J264" s="5">
        <v>114618</v>
      </c>
      <c r="K264" s="5">
        <v>80632.03</v>
      </c>
      <c r="L264" s="5">
        <v>33985.97</v>
      </c>
      <c r="M264" s="6">
        <f t="shared" si="4"/>
        <v>0.29651511978921286</v>
      </c>
    </row>
    <row r="265" spans="1:13" x14ac:dyDescent="0.35">
      <c r="A265">
        <v>2263</v>
      </c>
      <c r="B265" s="4">
        <v>45510</v>
      </c>
      <c r="C265" t="s">
        <v>35</v>
      </c>
      <c r="D265" t="s">
        <v>23</v>
      </c>
      <c r="E265" t="s">
        <v>24</v>
      </c>
      <c r="F265" t="s">
        <v>25</v>
      </c>
      <c r="G265" t="s">
        <v>36</v>
      </c>
      <c r="H265">
        <v>2</v>
      </c>
      <c r="I265" s="5">
        <v>71120</v>
      </c>
      <c r="J265" s="5">
        <v>142240</v>
      </c>
      <c r="K265" s="5">
        <v>92532.67</v>
      </c>
      <c r="L265" s="5">
        <v>49707.33</v>
      </c>
      <c r="M265" s="6">
        <f t="shared" si="4"/>
        <v>0.34946098143982002</v>
      </c>
    </row>
    <row r="266" spans="1:13" x14ac:dyDescent="0.35">
      <c r="A266">
        <v>2264</v>
      </c>
      <c r="B266" s="4">
        <v>45627</v>
      </c>
      <c r="C266" t="s">
        <v>18</v>
      </c>
      <c r="D266" t="s">
        <v>14</v>
      </c>
      <c r="E266" t="s">
        <v>40</v>
      </c>
      <c r="F266" t="s">
        <v>25</v>
      </c>
      <c r="G266" t="s">
        <v>31</v>
      </c>
      <c r="H266">
        <v>3</v>
      </c>
      <c r="I266" s="5">
        <v>49985</v>
      </c>
      <c r="J266" s="5">
        <v>149955</v>
      </c>
      <c r="K266" s="5">
        <v>111852.94</v>
      </c>
      <c r="L266" s="5">
        <v>38102.06</v>
      </c>
      <c r="M266" s="6">
        <f t="shared" si="4"/>
        <v>0.25408996032142972</v>
      </c>
    </row>
    <row r="267" spans="1:13" x14ac:dyDescent="0.35">
      <c r="A267">
        <v>2265</v>
      </c>
      <c r="B267" s="4">
        <v>45335</v>
      </c>
      <c r="C267" t="s">
        <v>32</v>
      </c>
      <c r="D267" t="s">
        <v>23</v>
      </c>
      <c r="E267" t="s">
        <v>24</v>
      </c>
      <c r="F267" t="s">
        <v>25</v>
      </c>
      <c r="G267" t="s">
        <v>39</v>
      </c>
      <c r="H267">
        <v>3</v>
      </c>
      <c r="I267" s="5">
        <v>28021</v>
      </c>
      <c r="J267" s="5">
        <v>84063</v>
      </c>
      <c r="K267" s="5">
        <v>70255.25</v>
      </c>
      <c r="L267" s="5">
        <v>13807.75</v>
      </c>
      <c r="M267" s="6">
        <f t="shared" si="4"/>
        <v>0.16425478510164995</v>
      </c>
    </row>
    <row r="268" spans="1:13" x14ac:dyDescent="0.35">
      <c r="A268">
        <v>2266</v>
      </c>
      <c r="B268" s="4">
        <v>45581</v>
      </c>
      <c r="C268" t="s">
        <v>27</v>
      </c>
      <c r="D268" t="s">
        <v>23</v>
      </c>
      <c r="E268" t="s">
        <v>24</v>
      </c>
      <c r="F268" t="s">
        <v>25</v>
      </c>
      <c r="G268" t="s">
        <v>26</v>
      </c>
      <c r="H268">
        <v>3</v>
      </c>
      <c r="I268" s="5">
        <v>26402</v>
      </c>
      <c r="J268" s="5">
        <v>79206</v>
      </c>
      <c r="K268" s="5">
        <v>59890</v>
      </c>
      <c r="L268" s="5">
        <v>19316</v>
      </c>
      <c r="M268" s="6">
        <f t="shared" si="4"/>
        <v>0.24387041385753605</v>
      </c>
    </row>
    <row r="269" spans="1:13" x14ac:dyDescent="0.35">
      <c r="A269">
        <v>2267</v>
      </c>
      <c r="B269" s="4">
        <v>45299</v>
      </c>
      <c r="C269" t="s">
        <v>35</v>
      </c>
      <c r="D269" t="s">
        <v>14</v>
      </c>
      <c r="E269" t="s">
        <v>15</v>
      </c>
      <c r="F269" t="s">
        <v>16</v>
      </c>
      <c r="G269" t="s">
        <v>21</v>
      </c>
      <c r="H269">
        <v>1</v>
      </c>
      <c r="I269" s="5">
        <v>35492</v>
      </c>
      <c r="J269" s="5">
        <v>35492</v>
      </c>
      <c r="K269" s="5">
        <v>29825.83</v>
      </c>
      <c r="L269" s="5">
        <v>5666.17</v>
      </c>
      <c r="M269" s="6">
        <f t="shared" si="4"/>
        <v>0.15964639918854953</v>
      </c>
    </row>
    <row r="270" spans="1:13" x14ac:dyDescent="0.35">
      <c r="A270">
        <v>2268</v>
      </c>
      <c r="B270" s="4">
        <v>45343</v>
      </c>
      <c r="C270" t="s">
        <v>18</v>
      </c>
      <c r="D270" t="s">
        <v>14</v>
      </c>
      <c r="E270" t="s">
        <v>40</v>
      </c>
      <c r="F270" t="s">
        <v>25</v>
      </c>
      <c r="G270" t="s">
        <v>21</v>
      </c>
      <c r="H270">
        <v>5</v>
      </c>
      <c r="I270" s="5">
        <v>26708</v>
      </c>
      <c r="J270" s="5">
        <v>133540</v>
      </c>
      <c r="K270" s="5">
        <v>109614.27</v>
      </c>
      <c r="L270" s="5">
        <v>23925.73</v>
      </c>
      <c r="M270" s="6">
        <f t="shared" si="4"/>
        <v>0.17916526883330836</v>
      </c>
    </row>
    <row r="271" spans="1:13" x14ac:dyDescent="0.35">
      <c r="A271">
        <v>2269</v>
      </c>
      <c r="B271" s="4">
        <v>45469</v>
      </c>
      <c r="C271" t="s">
        <v>37</v>
      </c>
      <c r="D271" t="s">
        <v>33</v>
      </c>
      <c r="E271" t="s">
        <v>34</v>
      </c>
      <c r="F271" t="s">
        <v>25</v>
      </c>
      <c r="G271" t="s">
        <v>17</v>
      </c>
      <c r="H271">
        <v>2</v>
      </c>
      <c r="I271" s="5">
        <v>35333</v>
      </c>
      <c r="J271" s="5">
        <v>70666</v>
      </c>
      <c r="K271" s="5">
        <v>58710.55</v>
      </c>
      <c r="L271" s="5">
        <v>11955.45</v>
      </c>
      <c r="M271" s="6">
        <f t="shared" si="4"/>
        <v>0.16918249228766311</v>
      </c>
    </row>
    <row r="272" spans="1:13" x14ac:dyDescent="0.35">
      <c r="A272">
        <v>2270</v>
      </c>
      <c r="B272" s="4">
        <v>45644</v>
      </c>
      <c r="C272" t="s">
        <v>13</v>
      </c>
      <c r="D272" t="s">
        <v>42</v>
      </c>
      <c r="E272" t="s">
        <v>43</v>
      </c>
      <c r="F272" t="s">
        <v>25</v>
      </c>
      <c r="G272" t="s">
        <v>21</v>
      </c>
      <c r="H272">
        <v>5</v>
      </c>
      <c r="I272" s="5">
        <v>19849</v>
      </c>
      <c r="J272" s="5">
        <v>99245</v>
      </c>
      <c r="K272" s="5">
        <v>77777.47</v>
      </c>
      <c r="L272" s="5">
        <v>21467.53</v>
      </c>
      <c r="M272" s="6">
        <f t="shared" si="4"/>
        <v>0.21630842863620334</v>
      </c>
    </row>
    <row r="273" spans="1:13" x14ac:dyDescent="0.35">
      <c r="A273">
        <v>2271</v>
      </c>
      <c r="B273" s="4">
        <v>45444</v>
      </c>
      <c r="C273" t="s">
        <v>37</v>
      </c>
      <c r="D273" t="s">
        <v>42</v>
      </c>
      <c r="E273" t="s">
        <v>43</v>
      </c>
      <c r="F273" t="s">
        <v>25</v>
      </c>
      <c r="G273" t="s">
        <v>39</v>
      </c>
      <c r="H273">
        <v>2</v>
      </c>
      <c r="I273" s="5">
        <v>72810</v>
      </c>
      <c r="J273" s="5">
        <v>145620</v>
      </c>
      <c r="K273" s="5">
        <v>114829.89</v>
      </c>
      <c r="L273" s="5">
        <v>30790.11</v>
      </c>
      <c r="M273" s="6">
        <f t="shared" si="4"/>
        <v>0.21144149155335806</v>
      </c>
    </row>
    <row r="274" spans="1:13" x14ac:dyDescent="0.35">
      <c r="A274">
        <v>2272</v>
      </c>
      <c r="B274" s="4">
        <v>45516</v>
      </c>
      <c r="C274" t="s">
        <v>27</v>
      </c>
      <c r="D274" t="s">
        <v>42</v>
      </c>
      <c r="E274" t="s">
        <v>43</v>
      </c>
      <c r="F274" t="s">
        <v>25</v>
      </c>
      <c r="G274" t="s">
        <v>39</v>
      </c>
      <c r="H274">
        <v>1</v>
      </c>
      <c r="I274" s="5">
        <v>23521</v>
      </c>
      <c r="J274" s="5">
        <v>23521</v>
      </c>
      <c r="K274" s="5">
        <v>16532.88</v>
      </c>
      <c r="L274" s="5">
        <v>6988.12</v>
      </c>
      <c r="M274" s="6">
        <f t="shared" si="4"/>
        <v>0.29710131371965476</v>
      </c>
    </row>
    <row r="275" spans="1:13" x14ac:dyDescent="0.35">
      <c r="A275">
        <v>2273</v>
      </c>
      <c r="B275" s="4">
        <v>45534</v>
      </c>
      <c r="C275" t="s">
        <v>37</v>
      </c>
      <c r="D275" t="s">
        <v>33</v>
      </c>
      <c r="E275" t="s">
        <v>41</v>
      </c>
      <c r="F275" t="s">
        <v>16</v>
      </c>
      <c r="G275" t="s">
        <v>31</v>
      </c>
      <c r="H275">
        <v>4</v>
      </c>
      <c r="I275" s="5">
        <v>15661</v>
      </c>
      <c r="J275" s="5">
        <v>62644</v>
      </c>
      <c r="K275" s="5">
        <v>46787.18</v>
      </c>
      <c r="L275" s="5">
        <v>15856.82</v>
      </c>
      <c r="M275" s="6">
        <f t="shared" si="4"/>
        <v>0.25312591788519251</v>
      </c>
    </row>
    <row r="276" spans="1:13" x14ac:dyDescent="0.35">
      <c r="A276">
        <v>2274</v>
      </c>
      <c r="B276" s="4">
        <v>45418</v>
      </c>
      <c r="C276" t="s">
        <v>35</v>
      </c>
      <c r="D276" t="s">
        <v>33</v>
      </c>
      <c r="E276" t="s">
        <v>34</v>
      </c>
      <c r="F276" t="s">
        <v>25</v>
      </c>
      <c r="G276" t="s">
        <v>17</v>
      </c>
      <c r="H276">
        <v>4</v>
      </c>
      <c r="I276" s="5">
        <v>29576</v>
      </c>
      <c r="J276" s="5">
        <v>118304</v>
      </c>
      <c r="K276" s="5">
        <v>89663.61</v>
      </c>
      <c r="L276" s="5">
        <v>28640.39</v>
      </c>
      <c r="M276" s="6">
        <f t="shared" si="4"/>
        <v>0.24209147619691643</v>
      </c>
    </row>
    <row r="277" spans="1:13" x14ac:dyDescent="0.35">
      <c r="A277">
        <v>2275</v>
      </c>
      <c r="B277" s="4">
        <v>45531</v>
      </c>
      <c r="C277" t="s">
        <v>13</v>
      </c>
      <c r="D277" t="s">
        <v>19</v>
      </c>
      <c r="E277" t="s">
        <v>44</v>
      </c>
      <c r="F277" t="s">
        <v>25</v>
      </c>
      <c r="G277" t="s">
        <v>36</v>
      </c>
      <c r="H277">
        <v>5</v>
      </c>
      <c r="I277" s="5">
        <v>73222</v>
      </c>
      <c r="J277" s="5">
        <v>366110</v>
      </c>
      <c r="K277" s="5">
        <v>286686.14</v>
      </c>
      <c r="L277" s="5">
        <v>79423.86</v>
      </c>
      <c r="M277" s="6">
        <f t="shared" si="4"/>
        <v>0.2169398814563929</v>
      </c>
    </row>
    <row r="278" spans="1:13" x14ac:dyDescent="0.35">
      <c r="A278">
        <v>2276</v>
      </c>
      <c r="B278" s="4">
        <v>45506</v>
      </c>
      <c r="C278" t="s">
        <v>18</v>
      </c>
      <c r="D278" t="s">
        <v>23</v>
      </c>
      <c r="E278" t="s">
        <v>38</v>
      </c>
      <c r="F278" t="s">
        <v>25</v>
      </c>
      <c r="G278" t="s">
        <v>17</v>
      </c>
      <c r="H278">
        <v>1</v>
      </c>
      <c r="I278" s="5">
        <v>31660</v>
      </c>
      <c r="J278" s="5">
        <v>31660</v>
      </c>
      <c r="K278" s="5">
        <v>24612.74</v>
      </c>
      <c r="L278" s="5">
        <v>7047.26</v>
      </c>
      <c r="M278" s="6">
        <f t="shared" si="4"/>
        <v>0.22259191408717627</v>
      </c>
    </row>
    <row r="279" spans="1:13" x14ac:dyDescent="0.35">
      <c r="A279">
        <v>2277</v>
      </c>
      <c r="B279" s="4">
        <v>45315</v>
      </c>
      <c r="C279" t="s">
        <v>27</v>
      </c>
      <c r="D279" t="s">
        <v>19</v>
      </c>
      <c r="E279" t="s">
        <v>44</v>
      </c>
      <c r="F279" t="s">
        <v>25</v>
      </c>
      <c r="G279" t="s">
        <v>21</v>
      </c>
      <c r="H279">
        <v>3</v>
      </c>
      <c r="I279" s="5">
        <v>20317</v>
      </c>
      <c r="J279" s="5">
        <v>60951</v>
      </c>
      <c r="K279" s="5">
        <v>45842.78</v>
      </c>
      <c r="L279" s="5">
        <v>15108.22</v>
      </c>
      <c r="M279" s="6">
        <f t="shared" si="4"/>
        <v>0.24787485028957687</v>
      </c>
    </row>
    <row r="280" spans="1:13" x14ac:dyDescent="0.35">
      <c r="A280">
        <v>2278</v>
      </c>
      <c r="B280" s="4">
        <v>45309</v>
      </c>
      <c r="C280" t="s">
        <v>37</v>
      </c>
      <c r="D280" t="s">
        <v>23</v>
      </c>
      <c r="E280" t="s">
        <v>38</v>
      </c>
      <c r="F280" t="s">
        <v>25</v>
      </c>
      <c r="G280" t="s">
        <v>31</v>
      </c>
      <c r="H280">
        <v>2</v>
      </c>
      <c r="I280" s="5">
        <v>62472</v>
      </c>
      <c r="J280" s="5">
        <v>124944</v>
      </c>
      <c r="K280" s="5">
        <v>96838.54</v>
      </c>
      <c r="L280" s="5">
        <v>28105.46</v>
      </c>
      <c r="M280" s="6">
        <f t="shared" si="4"/>
        <v>0.22494445511589192</v>
      </c>
    </row>
    <row r="281" spans="1:13" x14ac:dyDescent="0.35">
      <c r="A281">
        <v>2279</v>
      </c>
      <c r="B281" s="4">
        <v>45479</v>
      </c>
      <c r="C281" t="s">
        <v>27</v>
      </c>
      <c r="D281" t="s">
        <v>14</v>
      </c>
      <c r="E281" t="s">
        <v>15</v>
      </c>
      <c r="F281" t="s">
        <v>16</v>
      </c>
      <c r="G281" t="s">
        <v>39</v>
      </c>
      <c r="H281">
        <v>3</v>
      </c>
      <c r="I281" s="5">
        <v>70198</v>
      </c>
      <c r="J281" s="5">
        <v>210594</v>
      </c>
      <c r="K281" s="5">
        <v>169676.6</v>
      </c>
      <c r="L281" s="5">
        <v>40917.4</v>
      </c>
      <c r="M281" s="6">
        <f t="shared" si="4"/>
        <v>0.1942951840983124</v>
      </c>
    </row>
    <row r="282" spans="1:13" x14ac:dyDescent="0.35">
      <c r="A282">
        <v>2280</v>
      </c>
      <c r="B282" s="4">
        <v>45437</v>
      </c>
      <c r="C282" t="s">
        <v>37</v>
      </c>
      <c r="D282" t="s">
        <v>42</v>
      </c>
      <c r="E282" t="s">
        <v>43</v>
      </c>
      <c r="F282" t="s">
        <v>25</v>
      </c>
      <c r="G282" t="s">
        <v>31</v>
      </c>
      <c r="H282">
        <v>4</v>
      </c>
      <c r="I282" s="5">
        <v>52820</v>
      </c>
      <c r="J282" s="5">
        <v>211280</v>
      </c>
      <c r="K282" s="5">
        <v>155180.45000000001</v>
      </c>
      <c r="L282" s="5">
        <v>56099.55</v>
      </c>
      <c r="M282" s="6">
        <f t="shared" si="4"/>
        <v>0.2655222926921621</v>
      </c>
    </row>
    <row r="283" spans="1:13" x14ac:dyDescent="0.35">
      <c r="A283">
        <v>2281</v>
      </c>
      <c r="B283" s="4">
        <v>45441</v>
      </c>
      <c r="C283" t="s">
        <v>27</v>
      </c>
      <c r="D283" t="s">
        <v>42</v>
      </c>
      <c r="E283" t="s">
        <v>43</v>
      </c>
      <c r="F283" t="s">
        <v>25</v>
      </c>
      <c r="G283" t="s">
        <v>36</v>
      </c>
      <c r="H283">
        <v>3</v>
      </c>
      <c r="I283" s="5">
        <v>72714</v>
      </c>
      <c r="J283" s="5">
        <v>218142</v>
      </c>
      <c r="K283" s="5">
        <v>159406.38</v>
      </c>
      <c r="L283" s="5">
        <v>58735.62</v>
      </c>
      <c r="M283" s="6">
        <f t="shared" si="4"/>
        <v>0.26925406386665568</v>
      </c>
    </row>
    <row r="284" spans="1:13" x14ac:dyDescent="0.35">
      <c r="A284">
        <v>2282</v>
      </c>
      <c r="B284" s="4">
        <v>45468</v>
      </c>
      <c r="C284" t="s">
        <v>18</v>
      </c>
      <c r="D284" t="s">
        <v>42</v>
      </c>
      <c r="E284" t="s">
        <v>43</v>
      </c>
      <c r="F284" t="s">
        <v>25</v>
      </c>
      <c r="G284" t="s">
        <v>21</v>
      </c>
      <c r="H284">
        <v>2</v>
      </c>
      <c r="I284" s="5">
        <v>72512</v>
      </c>
      <c r="J284" s="5">
        <v>145024</v>
      </c>
      <c r="K284" s="5">
        <v>117235.98</v>
      </c>
      <c r="L284" s="5">
        <v>27788.02</v>
      </c>
      <c r="M284" s="6">
        <f t="shared" si="4"/>
        <v>0.19160980251544571</v>
      </c>
    </row>
    <row r="285" spans="1:13" x14ac:dyDescent="0.35">
      <c r="A285">
        <v>2283</v>
      </c>
      <c r="B285" s="4">
        <v>45657</v>
      </c>
      <c r="C285" t="s">
        <v>13</v>
      </c>
      <c r="D285" t="s">
        <v>14</v>
      </c>
      <c r="E285" t="s">
        <v>15</v>
      </c>
      <c r="F285" t="s">
        <v>16</v>
      </c>
      <c r="G285" t="s">
        <v>36</v>
      </c>
      <c r="H285">
        <v>3</v>
      </c>
      <c r="I285" s="5">
        <v>24720</v>
      </c>
      <c r="J285" s="5">
        <v>74160</v>
      </c>
      <c r="K285" s="5">
        <v>56902.239999999998</v>
      </c>
      <c r="L285" s="5">
        <v>17257.759999999998</v>
      </c>
      <c r="M285" s="6">
        <f t="shared" si="4"/>
        <v>0.23270981661272921</v>
      </c>
    </row>
    <row r="286" spans="1:13" x14ac:dyDescent="0.35">
      <c r="A286">
        <v>2284</v>
      </c>
      <c r="B286" s="4">
        <v>45496</v>
      </c>
      <c r="C286" t="s">
        <v>37</v>
      </c>
      <c r="D286" t="s">
        <v>19</v>
      </c>
      <c r="E286" t="s">
        <v>20</v>
      </c>
      <c r="F286" t="s">
        <v>16</v>
      </c>
      <c r="G286" t="s">
        <v>26</v>
      </c>
      <c r="H286">
        <v>5</v>
      </c>
      <c r="I286" s="5">
        <v>61219</v>
      </c>
      <c r="J286" s="5">
        <v>306095</v>
      </c>
      <c r="K286" s="5">
        <v>232350.66</v>
      </c>
      <c r="L286" s="5">
        <v>73744.34</v>
      </c>
      <c r="M286" s="6">
        <f t="shared" si="4"/>
        <v>0.24091977980692267</v>
      </c>
    </row>
    <row r="287" spans="1:13" x14ac:dyDescent="0.35">
      <c r="A287">
        <v>2285</v>
      </c>
      <c r="B287" s="4">
        <v>45347</v>
      </c>
      <c r="C287" t="s">
        <v>22</v>
      </c>
      <c r="D287" t="s">
        <v>19</v>
      </c>
      <c r="E287" t="s">
        <v>44</v>
      </c>
      <c r="F287" t="s">
        <v>25</v>
      </c>
      <c r="G287" t="s">
        <v>36</v>
      </c>
      <c r="H287">
        <v>1</v>
      </c>
      <c r="I287" s="5">
        <v>14081</v>
      </c>
      <c r="J287" s="5">
        <v>14081</v>
      </c>
      <c r="K287" s="5">
        <v>9687.56</v>
      </c>
      <c r="L287" s="5">
        <v>4393.4399999999996</v>
      </c>
      <c r="M287" s="6">
        <f t="shared" si="4"/>
        <v>0.3120119309708117</v>
      </c>
    </row>
    <row r="288" spans="1:13" x14ac:dyDescent="0.35">
      <c r="A288">
        <v>2286</v>
      </c>
      <c r="B288" s="4">
        <v>45322</v>
      </c>
      <c r="C288" t="s">
        <v>32</v>
      </c>
      <c r="D288" t="s">
        <v>23</v>
      </c>
      <c r="E288" t="s">
        <v>38</v>
      </c>
      <c r="F288" t="s">
        <v>25</v>
      </c>
      <c r="G288" t="s">
        <v>39</v>
      </c>
      <c r="H288">
        <v>5</v>
      </c>
      <c r="I288" s="5">
        <v>79257</v>
      </c>
      <c r="J288" s="5">
        <v>396285</v>
      </c>
      <c r="K288" s="5">
        <v>306069.94</v>
      </c>
      <c r="L288" s="5">
        <v>90215.06</v>
      </c>
      <c r="M288" s="6">
        <f t="shared" si="4"/>
        <v>0.22765196764954515</v>
      </c>
    </row>
    <row r="289" spans="1:13" x14ac:dyDescent="0.35">
      <c r="A289">
        <v>2287</v>
      </c>
      <c r="B289" s="4">
        <v>45636</v>
      </c>
      <c r="C289" t="s">
        <v>13</v>
      </c>
      <c r="D289" t="s">
        <v>28</v>
      </c>
      <c r="E289" t="s">
        <v>29</v>
      </c>
      <c r="F289" t="s">
        <v>30</v>
      </c>
      <c r="G289" t="s">
        <v>39</v>
      </c>
      <c r="H289">
        <v>5</v>
      </c>
      <c r="I289" s="5">
        <v>18879</v>
      </c>
      <c r="J289" s="5">
        <v>94395</v>
      </c>
      <c r="K289" s="5">
        <v>65368.56</v>
      </c>
      <c r="L289" s="5">
        <v>29026.44</v>
      </c>
      <c r="M289" s="6">
        <f t="shared" si="4"/>
        <v>0.30749976163991738</v>
      </c>
    </row>
    <row r="290" spans="1:13" x14ac:dyDescent="0.35">
      <c r="A290">
        <v>2288</v>
      </c>
      <c r="B290" s="4">
        <v>45343</v>
      </c>
      <c r="C290" t="s">
        <v>35</v>
      </c>
      <c r="D290" t="s">
        <v>23</v>
      </c>
      <c r="E290" t="s">
        <v>38</v>
      </c>
      <c r="F290" t="s">
        <v>25</v>
      </c>
      <c r="G290" t="s">
        <v>31</v>
      </c>
      <c r="H290">
        <v>2</v>
      </c>
      <c r="I290" s="5">
        <v>12846</v>
      </c>
      <c r="J290" s="5">
        <v>25692</v>
      </c>
      <c r="K290" s="5">
        <v>18866</v>
      </c>
      <c r="L290" s="5">
        <v>6826</v>
      </c>
      <c r="M290" s="6">
        <f t="shared" si="4"/>
        <v>0.26568581659660595</v>
      </c>
    </row>
    <row r="291" spans="1:13" x14ac:dyDescent="0.35">
      <c r="A291">
        <v>2289</v>
      </c>
      <c r="B291" s="4">
        <v>45480</v>
      </c>
      <c r="C291" t="s">
        <v>35</v>
      </c>
      <c r="D291" t="s">
        <v>19</v>
      </c>
      <c r="E291" t="s">
        <v>20</v>
      </c>
      <c r="F291" t="s">
        <v>16</v>
      </c>
      <c r="G291" t="s">
        <v>26</v>
      </c>
      <c r="H291">
        <v>2</v>
      </c>
      <c r="I291" s="5">
        <v>48546</v>
      </c>
      <c r="J291" s="5">
        <v>97092</v>
      </c>
      <c r="K291" s="5">
        <v>74024.91</v>
      </c>
      <c r="L291" s="5">
        <v>23067.09</v>
      </c>
      <c r="M291" s="6">
        <f t="shared" si="4"/>
        <v>0.23757971820541343</v>
      </c>
    </row>
    <row r="292" spans="1:13" x14ac:dyDescent="0.35">
      <c r="A292">
        <v>2290</v>
      </c>
      <c r="B292" s="4">
        <v>45386</v>
      </c>
      <c r="C292" t="s">
        <v>37</v>
      </c>
      <c r="D292" t="s">
        <v>14</v>
      </c>
      <c r="E292" t="s">
        <v>40</v>
      </c>
      <c r="F292" t="s">
        <v>25</v>
      </c>
      <c r="G292" t="s">
        <v>36</v>
      </c>
      <c r="H292">
        <v>4</v>
      </c>
      <c r="I292" s="5">
        <v>12488</v>
      </c>
      <c r="J292" s="5">
        <v>49952</v>
      </c>
      <c r="K292" s="5">
        <v>35650.51</v>
      </c>
      <c r="L292" s="5">
        <v>14301.49</v>
      </c>
      <c r="M292" s="6">
        <f t="shared" si="4"/>
        <v>0.28630465246636772</v>
      </c>
    </row>
    <row r="293" spans="1:13" x14ac:dyDescent="0.35">
      <c r="A293">
        <v>2291</v>
      </c>
      <c r="B293" s="4">
        <v>45588</v>
      </c>
      <c r="C293" t="s">
        <v>32</v>
      </c>
      <c r="D293" t="s">
        <v>23</v>
      </c>
      <c r="E293" t="s">
        <v>24</v>
      </c>
      <c r="F293" t="s">
        <v>25</v>
      </c>
      <c r="G293" t="s">
        <v>39</v>
      </c>
      <c r="H293">
        <v>1</v>
      </c>
      <c r="I293" s="5">
        <v>73243</v>
      </c>
      <c r="J293" s="5">
        <v>73243</v>
      </c>
      <c r="K293" s="5">
        <v>55921.14</v>
      </c>
      <c r="L293" s="5">
        <v>17321.86</v>
      </c>
      <c r="M293" s="6">
        <f t="shared" si="4"/>
        <v>0.23649850497658481</v>
      </c>
    </row>
    <row r="294" spans="1:13" x14ac:dyDescent="0.35">
      <c r="A294">
        <v>2292</v>
      </c>
      <c r="B294" s="4">
        <v>45507</v>
      </c>
      <c r="C294" t="s">
        <v>37</v>
      </c>
      <c r="D294" t="s">
        <v>19</v>
      </c>
      <c r="E294" t="s">
        <v>44</v>
      </c>
      <c r="F294" t="s">
        <v>25</v>
      </c>
      <c r="G294" t="s">
        <v>26</v>
      </c>
      <c r="H294">
        <v>5</v>
      </c>
      <c r="I294" s="5">
        <v>61038</v>
      </c>
      <c r="J294" s="5">
        <v>305190</v>
      </c>
      <c r="K294" s="5">
        <v>225625.24</v>
      </c>
      <c r="L294" s="5">
        <v>79564.759999999995</v>
      </c>
      <c r="M294" s="6">
        <f t="shared" si="4"/>
        <v>0.26070565876994656</v>
      </c>
    </row>
    <row r="295" spans="1:13" x14ac:dyDescent="0.35">
      <c r="A295">
        <v>2293</v>
      </c>
      <c r="B295" s="4">
        <v>45596</v>
      </c>
      <c r="C295" t="s">
        <v>35</v>
      </c>
      <c r="D295" t="s">
        <v>19</v>
      </c>
      <c r="E295" t="s">
        <v>44</v>
      </c>
      <c r="F295" t="s">
        <v>25</v>
      </c>
      <c r="G295" t="s">
        <v>17</v>
      </c>
      <c r="H295">
        <v>5</v>
      </c>
      <c r="I295" s="5">
        <v>28354</v>
      </c>
      <c r="J295" s="5">
        <v>141770</v>
      </c>
      <c r="K295" s="5">
        <v>105631.36</v>
      </c>
      <c r="L295" s="5">
        <v>36138.639999999999</v>
      </c>
      <c r="M295" s="6">
        <f t="shared" si="4"/>
        <v>0.25491034774634974</v>
      </c>
    </row>
    <row r="296" spans="1:13" x14ac:dyDescent="0.35">
      <c r="A296">
        <v>2294</v>
      </c>
      <c r="B296" s="4">
        <v>45334</v>
      </c>
      <c r="C296" t="s">
        <v>32</v>
      </c>
      <c r="D296" t="s">
        <v>23</v>
      </c>
      <c r="E296" t="s">
        <v>24</v>
      </c>
      <c r="F296" t="s">
        <v>25</v>
      </c>
      <c r="G296" t="s">
        <v>26</v>
      </c>
      <c r="H296">
        <v>4</v>
      </c>
      <c r="I296" s="5">
        <v>35823</v>
      </c>
      <c r="J296" s="5">
        <v>143292</v>
      </c>
      <c r="K296" s="5">
        <v>118811.2</v>
      </c>
      <c r="L296" s="5">
        <v>24480.799999999999</v>
      </c>
      <c r="M296" s="6">
        <f t="shared" si="4"/>
        <v>0.17084554615749659</v>
      </c>
    </row>
    <row r="297" spans="1:13" x14ac:dyDescent="0.35">
      <c r="A297">
        <v>2295</v>
      </c>
      <c r="B297" s="4">
        <v>45296</v>
      </c>
      <c r="C297" t="s">
        <v>22</v>
      </c>
      <c r="D297" t="s">
        <v>19</v>
      </c>
      <c r="E297" t="s">
        <v>44</v>
      </c>
      <c r="F297" t="s">
        <v>25</v>
      </c>
      <c r="G297" t="s">
        <v>26</v>
      </c>
      <c r="H297">
        <v>1</v>
      </c>
      <c r="I297" s="5">
        <v>19552</v>
      </c>
      <c r="J297" s="5">
        <v>19552</v>
      </c>
      <c r="K297" s="5">
        <v>13562.23</v>
      </c>
      <c r="L297" s="5">
        <v>5989.77</v>
      </c>
      <c r="M297" s="6">
        <f t="shared" si="4"/>
        <v>0.30635075695581016</v>
      </c>
    </row>
    <row r="298" spans="1:13" x14ac:dyDescent="0.35">
      <c r="A298">
        <v>2296</v>
      </c>
      <c r="B298" s="4">
        <v>45301</v>
      </c>
      <c r="C298" t="s">
        <v>13</v>
      </c>
      <c r="D298" t="s">
        <v>19</v>
      </c>
      <c r="E298" t="s">
        <v>20</v>
      </c>
      <c r="F298" t="s">
        <v>16</v>
      </c>
      <c r="G298" t="s">
        <v>17</v>
      </c>
      <c r="H298">
        <v>3</v>
      </c>
      <c r="I298" s="5">
        <v>39754</v>
      </c>
      <c r="J298" s="5">
        <v>119262</v>
      </c>
      <c r="K298" s="5">
        <v>88272.41</v>
      </c>
      <c r="L298" s="5">
        <v>30989.59</v>
      </c>
      <c r="M298" s="6">
        <f t="shared" si="4"/>
        <v>0.25984462779426809</v>
      </c>
    </row>
    <row r="299" spans="1:13" x14ac:dyDescent="0.35">
      <c r="A299">
        <v>2297</v>
      </c>
      <c r="B299" s="4">
        <v>45657</v>
      </c>
      <c r="C299" t="s">
        <v>27</v>
      </c>
      <c r="D299" t="s">
        <v>33</v>
      </c>
      <c r="E299" t="s">
        <v>34</v>
      </c>
      <c r="F299" t="s">
        <v>25</v>
      </c>
      <c r="G299" t="s">
        <v>36</v>
      </c>
      <c r="H299">
        <v>2</v>
      </c>
      <c r="I299" s="5">
        <v>19048</v>
      </c>
      <c r="J299" s="5">
        <v>38096</v>
      </c>
      <c r="K299" s="5">
        <v>26995.919999999998</v>
      </c>
      <c r="L299" s="5">
        <v>11100.08</v>
      </c>
      <c r="M299" s="6">
        <f t="shared" si="4"/>
        <v>0.29137127257454853</v>
      </c>
    </row>
    <row r="300" spans="1:13" x14ac:dyDescent="0.35">
      <c r="A300">
        <v>2298</v>
      </c>
      <c r="B300" s="4">
        <v>45527</v>
      </c>
      <c r="C300" t="s">
        <v>35</v>
      </c>
      <c r="D300" t="s">
        <v>42</v>
      </c>
      <c r="E300" t="s">
        <v>43</v>
      </c>
      <c r="F300" t="s">
        <v>25</v>
      </c>
      <c r="G300" t="s">
        <v>17</v>
      </c>
      <c r="H300">
        <v>3</v>
      </c>
      <c r="I300" s="5">
        <v>14902</v>
      </c>
      <c r="J300" s="5">
        <v>44706</v>
      </c>
      <c r="K300" s="5">
        <v>35471.620000000003</v>
      </c>
      <c r="L300" s="5">
        <v>9234.3799999999992</v>
      </c>
      <c r="M300" s="6">
        <f t="shared" si="4"/>
        <v>0.20655795642643043</v>
      </c>
    </row>
    <row r="301" spans="1:13" x14ac:dyDescent="0.35">
      <c r="A301">
        <v>2299</v>
      </c>
      <c r="B301" s="4">
        <v>45625</v>
      </c>
      <c r="C301" t="s">
        <v>27</v>
      </c>
      <c r="D301" t="s">
        <v>19</v>
      </c>
      <c r="E301" t="s">
        <v>44</v>
      </c>
      <c r="F301" t="s">
        <v>25</v>
      </c>
      <c r="G301" t="s">
        <v>26</v>
      </c>
      <c r="H301">
        <v>5</v>
      </c>
      <c r="I301" s="5">
        <v>18443</v>
      </c>
      <c r="J301" s="5">
        <v>92215</v>
      </c>
      <c r="K301" s="5">
        <v>67113.13</v>
      </c>
      <c r="L301" s="5">
        <v>25101.87</v>
      </c>
      <c r="M301" s="6">
        <f t="shared" si="4"/>
        <v>0.27221026947893506</v>
      </c>
    </row>
    <row r="302" spans="1:13" x14ac:dyDescent="0.35">
      <c r="A302">
        <v>2300</v>
      </c>
      <c r="B302" s="4">
        <v>45376</v>
      </c>
      <c r="C302" t="s">
        <v>35</v>
      </c>
      <c r="D302" t="s">
        <v>14</v>
      </c>
      <c r="E302" t="s">
        <v>40</v>
      </c>
      <c r="F302" t="s">
        <v>25</v>
      </c>
      <c r="G302" t="s">
        <v>21</v>
      </c>
      <c r="H302">
        <v>4</v>
      </c>
      <c r="I302" s="5">
        <v>15835</v>
      </c>
      <c r="J302" s="5">
        <v>63340</v>
      </c>
      <c r="K302" s="5">
        <v>45177.63</v>
      </c>
      <c r="L302" s="5">
        <v>18162.37</v>
      </c>
      <c r="M302" s="6">
        <f t="shared" si="4"/>
        <v>0.28674407957057152</v>
      </c>
    </row>
    <row r="303" spans="1:13" x14ac:dyDescent="0.35">
      <c r="A303">
        <v>2301</v>
      </c>
      <c r="B303" s="4">
        <v>45532</v>
      </c>
      <c r="C303" t="s">
        <v>35</v>
      </c>
      <c r="D303" t="s">
        <v>28</v>
      </c>
      <c r="E303" t="s">
        <v>29</v>
      </c>
      <c r="F303" t="s">
        <v>30</v>
      </c>
      <c r="G303" t="s">
        <v>17</v>
      </c>
      <c r="H303">
        <v>2</v>
      </c>
      <c r="I303" s="5">
        <v>26993</v>
      </c>
      <c r="J303" s="5">
        <v>53986</v>
      </c>
      <c r="K303" s="5">
        <v>45524.83</v>
      </c>
      <c r="L303" s="5">
        <v>8461.17</v>
      </c>
      <c r="M303" s="6">
        <f t="shared" si="4"/>
        <v>0.15672896676916237</v>
      </c>
    </row>
    <row r="304" spans="1:13" x14ac:dyDescent="0.35">
      <c r="A304">
        <v>2302</v>
      </c>
      <c r="B304" s="4">
        <v>45375</v>
      </c>
      <c r="C304" t="s">
        <v>18</v>
      </c>
      <c r="D304" t="s">
        <v>19</v>
      </c>
      <c r="E304" t="s">
        <v>20</v>
      </c>
      <c r="F304" t="s">
        <v>16</v>
      </c>
      <c r="G304" t="s">
        <v>39</v>
      </c>
      <c r="H304">
        <v>4</v>
      </c>
      <c r="I304" s="5">
        <v>70516</v>
      </c>
      <c r="J304" s="5">
        <v>282064</v>
      </c>
      <c r="K304" s="5">
        <v>205102.13</v>
      </c>
      <c r="L304" s="5">
        <v>76961.87</v>
      </c>
      <c r="M304" s="6">
        <f t="shared" si="4"/>
        <v>0.27285250865051902</v>
      </c>
    </row>
    <row r="305" spans="1:13" x14ac:dyDescent="0.35">
      <c r="A305">
        <v>2303</v>
      </c>
      <c r="B305" s="4">
        <v>45462</v>
      </c>
      <c r="C305" t="s">
        <v>18</v>
      </c>
      <c r="D305" t="s">
        <v>23</v>
      </c>
      <c r="E305" t="s">
        <v>38</v>
      </c>
      <c r="F305" t="s">
        <v>25</v>
      </c>
      <c r="G305" t="s">
        <v>21</v>
      </c>
      <c r="H305">
        <v>3</v>
      </c>
      <c r="I305" s="5">
        <v>44687</v>
      </c>
      <c r="J305" s="5">
        <v>134061</v>
      </c>
      <c r="K305" s="5">
        <v>88765.48</v>
      </c>
      <c r="L305" s="5">
        <v>45295.519999999997</v>
      </c>
      <c r="M305" s="6">
        <f t="shared" si="4"/>
        <v>0.33787246104385316</v>
      </c>
    </row>
    <row r="306" spans="1:13" x14ac:dyDescent="0.35">
      <c r="A306">
        <v>2304</v>
      </c>
      <c r="B306" s="4">
        <v>45299</v>
      </c>
      <c r="C306" t="s">
        <v>18</v>
      </c>
      <c r="D306" t="s">
        <v>28</v>
      </c>
      <c r="E306" t="s">
        <v>29</v>
      </c>
      <c r="F306" t="s">
        <v>30</v>
      </c>
      <c r="G306" t="s">
        <v>21</v>
      </c>
      <c r="H306">
        <v>2</v>
      </c>
      <c r="I306" s="5">
        <v>48448</v>
      </c>
      <c r="J306" s="5">
        <v>96896</v>
      </c>
      <c r="K306" s="5">
        <v>74312.800000000003</v>
      </c>
      <c r="L306" s="5">
        <v>22583.200000000001</v>
      </c>
      <c r="M306" s="6">
        <f t="shared" si="4"/>
        <v>0.23306638044914135</v>
      </c>
    </row>
    <row r="307" spans="1:13" x14ac:dyDescent="0.35">
      <c r="A307">
        <v>2305</v>
      </c>
      <c r="B307" s="4">
        <v>45642</v>
      </c>
      <c r="C307" t="s">
        <v>22</v>
      </c>
      <c r="D307" t="s">
        <v>33</v>
      </c>
      <c r="E307" t="s">
        <v>41</v>
      </c>
      <c r="F307" t="s">
        <v>16</v>
      </c>
      <c r="G307" t="s">
        <v>17</v>
      </c>
      <c r="H307">
        <v>4</v>
      </c>
      <c r="I307" s="5">
        <v>38717</v>
      </c>
      <c r="J307" s="5">
        <v>154868</v>
      </c>
      <c r="K307" s="5">
        <v>125674.81</v>
      </c>
      <c r="L307" s="5">
        <v>29193.19</v>
      </c>
      <c r="M307" s="6">
        <f t="shared" si="4"/>
        <v>0.18850369346798562</v>
      </c>
    </row>
    <row r="308" spans="1:13" x14ac:dyDescent="0.35">
      <c r="A308">
        <v>2306</v>
      </c>
      <c r="B308" s="4">
        <v>45456</v>
      </c>
      <c r="C308" t="s">
        <v>35</v>
      </c>
      <c r="D308" t="s">
        <v>14</v>
      </c>
      <c r="E308" t="s">
        <v>40</v>
      </c>
      <c r="F308" t="s">
        <v>25</v>
      </c>
      <c r="G308" t="s">
        <v>26</v>
      </c>
      <c r="H308">
        <v>3</v>
      </c>
      <c r="I308" s="5">
        <v>43130</v>
      </c>
      <c r="J308" s="5">
        <v>129390</v>
      </c>
      <c r="K308" s="5">
        <v>95036.96</v>
      </c>
      <c r="L308" s="5">
        <v>34353.040000000001</v>
      </c>
      <c r="M308" s="6">
        <f t="shared" si="4"/>
        <v>0.26549996135713733</v>
      </c>
    </row>
    <row r="309" spans="1:13" x14ac:dyDescent="0.35">
      <c r="A309">
        <v>2307</v>
      </c>
      <c r="B309" s="4">
        <v>45439</v>
      </c>
      <c r="C309" t="s">
        <v>37</v>
      </c>
      <c r="D309" t="s">
        <v>28</v>
      </c>
      <c r="E309" t="s">
        <v>29</v>
      </c>
      <c r="F309" t="s">
        <v>30</v>
      </c>
      <c r="G309" t="s">
        <v>26</v>
      </c>
      <c r="H309">
        <v>2</v>
      </c>
      <c r="I309" s="5">
        <v>27267</v>
      </c>
      <c r="J309" s="5">
        <v>54534</v>
      </c>
      <c r="K309" s="5">
        <v>38433.910000000003</v>
      </c>
      <c r="L309" s="5">
        <v>16100.09</v>
      </c>
      <c r="M309" s="6">
        <f t="shared" si="4"/>
        <v>0.29523031503282354</v>
      </c>
    </row>
    <row r="310" spans="1:13" x14ac:dyDescent="0.35">
      <c r="A310">
        <v>2308</v>
      </c>
      <c r="B310" s="4">
        <v>45469</v>
      </c>
      <c r="C310" t="s">
        <v>35</v>
      </c>
      <c r="D310" t="s">
        <v>42</v>
      </c>
      <c r="E310" t="s">
        <v>43</v>
      </c>
      <c r="F310" t="s">
        <v>25</v>
      </c>
      <c r="G310" t="s">
        <v>17</v>
      </c>
      <c r="H310">
        <v>5</v>
      </c>
      <c r="I310" s="5">
        <v>19149</v>
      </c>
      <c r="J310" s="5">
        <v>95745</v>
      </c>
      <c r="K310" s="5">
        <v>72574.350000000006</v>
      </c>
      <c r="L310" s="5">
        <v>23170.65</v>
      </c>
      <c r="M310" s="6">
        <f t="shared" si="4"/>
        <v>0.24200375998746673</v>
      </c>
    </row>
    <row r="311" spans="1:13" x14ac:dyDescent="0.35">
      <c r="A311">
        <v>2309</v>
      </c>
      <c r="B311" s="4">
        <v>45394</v>
      </c>
      <c r="C311" t="s">
        <v>37</v>
      </c>
      <c r="D311" t="s">
        <v>23</v>
      </c>
      <c r="E311" t="s">
        <v>38</v>
      </c>
      <c r="F311" t="s">
        <v>25</v>
      </c>
      <c r="G311" t="s">
        <v>17</v>
      </c>
      <c r="H311">
        <v>2</v>
      </c>
      <c r="I311" s="5">
        <v>48562</v>
      </c>
      <c r="J311" s="5">
        <v>97124</v>
      </c>
      <c r="K311" s="5">
        <v>74919.48</v>
      </c>
      <c r="L311" s="5">
        <v>22204.52</v>
      </c>
      <c r="M311" s="6">
        <f t="shared" si="4"/>
        <v>0.22862032041513941</v>
      </c>
    </row>
    <row r="312" spans="1:13" x14ac:dyDescent="0.35">
      <c r="A312">
        <v>2310</v>
      </c>
      <c r="B312" s="4">
        <v>45397</v>
      </c>
      <c r="C312" t="s">
        <v>22</v>
      </c>
      <c r="D312" t="s">
        <v>23</v>
      </c>
      <c r="E312" t="s">
        <v>24</v>
      </c>
      <c r="F312" t="s">
        <v>25</v>
      </c>
      <c r="G312" t="s">
        <v>39</v>
      </c>
      <c r="H312">
        <v>3</v>
      </c>
      <c r="I312" s="5">
        <v>9228</v>
      </c>
      <c r="J312" s="5">
        <v>27684</v>
      </c>
      <c r="K312" s="5">
        <v>22377.89</v>
      </c>
      <c r="L312" s="5">
        <v>5306.11</v>
      </c>
      <c r="M312" s="6">
        <f t="shared" si="4"/>
        <v>0.19166702788614362</v>
      </c>
    </row>
    <row r="313" spans="1:13" x14ac:dyDescent="0.35">
      <c r="A313">
        <v>2311</v>
      </c>
      <c r="B313" s="4">
        <v>45566</v>
      </c>
      <c r="C313" t="s">
        <v>32</v>
      </c>
      <c r="D313" t="s">
        <v>23</v>
      </c>
      <c r="E313" t="s">
        <v>38</v>
      </c>
      <c r="F313" t="s">
        <v>25</v>
      </c>
      <c r="G313" t="s">
        <v>26</v>
      </c>
      <c r="H313">
        <v>3</v>
      </c>
      <c r="I313" s="5">
        <v>16209</v>
      </c>
      <c r="J313" s="5">
        <v>48627</v>
      </c>
      <c r="K313" s="5">
        <v>33872.269999999997</v>
      </c>
      <c r="L313" s="5">
        <v>14754.73</v>
      </c>
      <c r="M313" s="6">
        <f t="shared" si="4"/>
        <v>0.30342669710243281</v>
      </c>
    </row>
    <row r="314" spans="1:13" x14ac:dyDescent="0.35">
      <c r="A314">
        <v>2312</v>
      </c>
      <c r="B314" s="4">
        <v>45559</v>
      </c>
      <c r="C314" t="s">
        <v>32</v>
      </c>
      <c r="D314" t="s">
        <v>28</v>
      </c>
      <c r="E314" t="s">
        <v>29</v>
      </c>
      <c r="F314" t="s">
        <v>30</v>
      </c>
      <c r="G314" t="s">
        <v>36</v>
      </c>
      <c r="H314">
        <v>3</v>
      </c>
      <c r="I314" s="5">
        <v>70467</v>
      </c>
      <c r="J314" s="5">
        <v>211401</v>
      </c>
      <c r="K314" s="5">
        <v>158811.56</v>
      </c>
      <c r="L314" s="5">
        <v>52589.440000000002</v>
      </c>
      <c r="M314" s="6">
        <f t="shared" si="4"/>
        <v>0.24876627830521145</v>
      </c>
    </row>
    <row r="315" spans="1:13" x14ac:dyDescent="0.35">
      <c r="A315">
        <v>2313</v>
      </c>
      <c r="B315" s="4">
        <v>45390</v>
      </c>
      <c r="C315" t="s">
        <v>13</v>
      </c>
      <c r="D315" t="s">
        <v>33</v>
      </c>
      <c r="E315" t="s">
        <v>41</v>
      </c>
      <c r="F315" t="s">
        <v>16</v>
      </c>
      <c r="G315" t="s">
        <v>31</v>
      </c>
      <c r="H315">
        <v>1</v>
      </c>
      <c r="I315" s="5">
        <v>31683</v>
      </c>
      <c r="J315" s="5">
        <v>31683</v>
      </c>
      <c r="K315" s="5">
        <v>25700.39</v>
      </c>
      <c r="L315" s="5">
        <v>5982.61</v>
      </c>
      <c r="M315" s="6">
        <f t="shared" si="4"/>
        <v>0.18882713126913486</v>
      </c>
    </row>
    <row r="316" spans="1:13" x14ac:dyDescent="0.35">
      <c r="A316">
        <v>2314</v>
      </c>
      <c r="B316" s="4">
        <v>45580</v>
      </c>
      <c r="C316" t="s">
        <v>18</v>
      </c>
      <c r="D316" t="s">
        <v>14</v>
      </c>
      <c r="E316" t="s">
        <v>40</v>
      </c>
      <c r="F316" t="s">
        <v>25</v>
      </c>
      <c r="G316" t="s">
        <v>21</v>
      </c>
      <c r="H316">
        <v>3</v>
      </c>
      <c r="I316" s="5">
        <v>60755</v>
      </c>
      <c r="J316" s="5">
        <v>182265</v>
      </c>
      <c r="K316" s="5">
        <v>146892.41</v>
      </c>
      <c r="L316" s="5">
        <v>35372.589999999997</v>
      </c>
      <c r="M316" s="6">
        <f t="shared" si="4"/>
        <v>0.19407231229254107</v>
      </c>
    </row>
    <row r="317" spans="1:13" x14ac:dyDescent="0.35">
      <c r="A317">
        <v>2315</v>
      </c>
      <c r="B317" s="4">
        <v>45544</v>
      </c>
      <c r="C317" t="s">
        <v>13</v>
      </c>
      <c r="D317" t="s">
        <v>33</v>
      </c>
      <c r="E317" t="s">
        <v>34</v>
      </c>
      <c r="F317" t="s">
        <v>25</v>
      </c>
      <c r="G317" t="s">
        <v>26</v>
      </c>
      <c r="H317">
        <v>3</v>
      </c>
      <c r="I317" s="5">
        <v>21909</v>
      </c>
      <c r="J317" s="5">
        <v>65727</v>
      </c>
      <c r="K317" s="5">
        <v>47608.28</v>
      </c>
      <c r="L317" s="5">
        <v>18118.72</v>
      </c>
      <c r="M317" s="6">
        <f t="shared" si="4"/>
        <v>0.27566631673437098</v>
      </c>
    </row>
    <row r="318" spans="1:13" x14ac:dyDescent="0.35">
      <c r="A318">
        <v>2316</v>
      </c>
      <c r="B318" s="4">
        <v>45371</v>
      </c>
      <c r="C318" t="s">
        <v>37</v>
      </c>
      <c r="D318" t="s">
        <v>23</v>
      </c>
      <c r="E318" t="s">
        <v>38</v>
      </c>
      <c r="F318" t="s">
        <v>25</v>
      </c>
      <c r="G318" t="s">
        <v>26</v>
      </c>
      <c r="H318">
        <v>3</v>
      </c>
      <c r="I318" s="5">
        <v>11979</v>
      </c>
      <c r="J318" s="5">
        <v>35937</v>
      </c>
      <c r="K318" s="5">
        <v>25838.14</v>
      </c>
      <c r="L318" s="5">
        <v>10098.86</v>
      </c>
      <c r="M318" s="6">
        <f t="shared" si="4"/>
        <v>0.28101566630492253</v>
      </c>
    </row>
    <row r="319" spans="1:13" x14ac:dyDescent="0.35">
      <c r="A319">
        <v>2317</v>
      </c>
      <c r="B319" s="4">
        <v>45340</v>
      </c>
      <c r="C319" t="s">
        <v>32</v>
      </c>
      <c r="D319" t="s">
        <v>42</v>
      </c>
      <c r="E319" t="s">
        <v>43</v>
      </c>
      <c r="F319" t="s">
        <v>25</v>
      </c>
      <c r="G319" t="s">
        <v>26</v>
      </c>
      <c r="H319">
        <v>1</v>
      </c>
      <c r="I319" s="5">
        <v>34823</v>
      </c>
      <c r="J319" s="5">
        <v>34823</v>
      </c>
      <c r="K319" s="5">
        <v>29532.720000000001</v>
      </c>
      <c r="L319" s="5">
        <v>5290.28</v>
      </c>
      <c r="M319" s="6">
        <f t="shared" si="4"/>
        <v>0.15191913390575193</v>
      </c>
    </row>
    <row r="320" spans="1:13" x14ac:dyDescent="0.35">
      <c r="A320">
        <v>2318</v>
      </c>
      <c r="B320" s="4">
        <v>45582</v>
      </c>
      <c r="C320" t="s">
        <v>22</v>
      </c>
      <c r="D320" t="s">
        <v>28</v>
      </c>
      <c r="E320" t="s">
        <v>29</v>
      </c>
      <c r="F320" t="s">
        <v>30</v>
      </c>
      <c r="G320" t="s">
        <v>21</v>
      </c>
      <c r="H320">
        <v>2</v>
      </c>
      <c r="I320" s="5">
        <v>42288</v>
      </c>
      <c r="J320" s="5">
        <v>84576</v>
      </c>
      <c r="K320" s="5">
        <v>70629.34</v>
      </c>
      <c r="L320" s="5">
        <v>13946.66</v>
      </c>
      <c r="M320" s="6">
        <f t="shared" si="4"/>
        <v>0.16490091751797201</v>
      </c>
    </row>
    <row r="321" spans="1:13" x14ac:dyDescent="0.35">
      <c r="A321">
        <v>2319</v>
      </c>
      <c r="B321" s="4">
        <v>45520</v>
      </c>
      <c r="C321" t="s">
        <v>22</v>
      </c>
      <c r="D321" t="s">
        <v>14</v>
      </c>
      <c r="E321" t="s">
        <v>40</v>
      </c>
      <c r="F321" t="s">
        <v>25</v>
      </c>
      <c r="G321" t="s">
        <v>26</v>
      </c>
      <c r="H321">
        <v>5</v>
      </c>
      <c r="I321" s="5">
        <v>25157</v>
      </c>
      <c r="J321" s="5">
        <v>125785</v>
      </c>
      <c r="K321" s="5">
        <v>88150.02</v>
      </c>
      <c r="L321" s="5">
        <v>37634.980000000003</v>
      </c>
      <c r="M321" s="6">
        <f t="shared" si="4"/>
        <v>0.29920085860794216</v>
      </c>
    </row>
    <row r="322" spans="1:13" x14ac:dyDescent="0.35">
      <c r="A322">
        <v>2320</v>
      </c>
      <c r="B322" s="4">
        <v>45384</v>
      </c>
      <c r="C322" t="s">
        <v>18</v>
      </c>
      <c r="D322" t="s">
        <v>19</v>
      </c>
      <c r="E322" t="s">
        <v>44</v>
      </c>
      <c r="F322" t="s">
        <v>25</v>
      </c>
      <c r="G322" t="s">
        <v>31</v>
      </c>
      <c r="H322">
        <v>4</v>
      </c>
      <c r="I322" s="5">
        <v>18965</v>
      </c>
      <c r="J322" s="5">
        <v>75860</v>
      </c>
      <c r="K322" s="5">
        <v>49726.52</v>
      </c>
      <c r="L322" s="5">
        <v>26133.48</v>
      </c>
      <c r="M322" s="6">
        <f t="shared" si="4"/>
        <v>0.3444961771684682</v>
      </c>
    </row>
    <row r="323" spans="1:13" x14ac:dyDescent="0.35">
      <c r="A323">
        <v>2321</v>
      </c>
      <c r="B323" s="4">
        <v>45653</v>
      </c>
      <c r="C323" t="s">
        <v>32</v>
      </c>
      <c r="D323" t="s">
        <v>19</v>
      </c>
      <c r="E323" t="s">
        <v>44</v>
      </c>
      <c r="F323" t="s">
        <v>25</v>
      </c>
      <c r="G323" t="s">
        <v>36</v>
      </c>
      <c r="H323">
        <v>4</v>
      </c>
      <c r="I323" s="5">
        <v>71810</v>
      </c>
      <c r="J323" s="5">
        <v>287240</v>
      </c>
      <c r="K323" s="5">
        <v>241121.04</v>
      </c>
      <c r="L323" s="5">
        <v>46118.96</v>
      </c>
      <c r="M323" s="6">
        <f t="shared" ref="M323:M386" si="5">L323/J323</f>
        <v>0.16055897507310959</v>
      </c>
    </row>
    <row r="324" spans="1:13" x14ac:dyDescent="0.35">
      <c r="A324">
        <v>2322</v>
      </c>
      <c r="B324" s="4">
        <v>45619</v>
      </c>
      <c r="C324" t="s">
        <v>37</v>
      </c>
      <c r="D324" t="s">
        <v>19</v>
      </c>
      <c r="E324" t="s">
        <v>20</v>
      </c>
      <c r="F324" t="s">
        <v>16</v>
      </c>
      <c r="G324" t="s">
        <v>21</v>
      </c>
      <c r="H324">
        <v>4</v>
      </c>
      <c r="I324" s="5">
        <v>23717</v>
      </c>
      <c r="J324" s="5">
        <v>94868</v>
      </c>
      <c r="K324" s="5">
        <v>75066.7</v>
      </c>
      <c r="L324" s="5">
        <v>19801.3</v>
      </c>
      <c r="M324" s="6">
        <f t="shared" si="5"/>
        <v>0.20872475439558122</v>
      </c>
    </row>
    <row r="325" spans="1:13" x14ac:dyDescent="0.35">
      <c r="A325">
        <v>2323</v>
      </c>
      <c r="B325" s="4">
        <v>45581</v>
      </c>
      <c r="C325" t="s">
        <v>18</v>
      </c>
      <c r="D325" t="s">
        <v>19</v>
      </c>
      <c r="E325" t="s">
        <v>20</v>
      </c>
      <c r="F325" t="s">
        <v>16</v>
      </c>
      <c r="G325" t="s">
        <v>36</v>
      </c>
      <c r="H325">
        <v>2</v>
      </c>
      <c r="I325" s="5">
        <v>19768</v>
      </c>
      <c r="J325" s="5">
        <v>39536</v>
      </c>
      <c r="K325" s="5">
        <v>33261</v>
      </c>
      <c r="L325" s="5">
        <v>6275</v>
      </c>
      <c r="M325" s="6">
        <f t="shared" si="5"/>
        <v>0.15871610683933629</v>
      </c>
    </row>
    <row r="326" spans="1:13" x14ac:dyDescent="0.35">
      <c r="A326">
        <v>2324</v>
      </c>
      <c r="B326" s="4">
        <v>45521</v>
      </c>
      <c r="C326" t="s">
        <v>22</v>
      </c>
      <c r="D326" t="s">
        <v>42</v>
      </c>
      <c r="E326" t="s">
        <v>43</v>
      </c>
      <c r="F326" t="s">
        <v>25</v>
      </c>
      <c r="G326" t="s">
        <v>31</v>
      </c>
      <c r="H326">
        <v>2</v>
      </c>
      <c r="I326" s="5">
        <v>56616</v>
      </c>
      <c r="J326" s="5">
        <v>113232</v>
      </c>
      <c r="K326" s="5">
        <v>95471.98</v>
      </c>
      <c r="L326" s="5">
        <v>17760.02</v>
      </c>
      <c r="M326" s="6">
        <f t="shared" si="5"/>
        <v>0.15684629786632753</v>
      </c>
    </row>
    <row r="327" spans="1:13" x14ac:dyDescent="0.35">
      <c r="A327">
        <v>2325</v>
      </c>
      <c r="B327" s="4">
        <v>45423</v>
      </c>
      <c r="C327" t="s">
        <v>13</v>
      </c>
      <c r="D327" t="s">
        <v>33</v>
      </c>
      <c r="E327" t="s">
        <v>41</v>
      </c>
      <c r="F327" t="s">
        <v>16</v>
      </c>
      <c r="G327" t="s">
        <v>26</v>
      </c>
      <c r="H327">
        <v>3</v>
      </c>
      <c r="I327" s="5">
        <v>15769</v>
      </c>
      <c r="J327" s="5">
        <v>47307</v>
      </c>
      <c r="K327" s="5">
        <v>39290.870000000003</v>
      </c>
      <c r="L327" s="5">
        <v>8016.13</v>
      </c>
      <c r="M327" s="6">
        <f t="shared" si="5"/>
        <v>0.16944913014987212</v>
      </c>
    </row>
    <row r="328" spans="1:13" x14ac:dyDescent="0.35">
      <c r="A328">
        <v>2326</v>
      </c>
      <c r="B328" s="4">
        <v>45424</v>
      </c>
      <c r="C328" t="s">
        <v>37</v>
      </c>
      <c r="D328" t="s">
        <v>19</v>
      </c>
      <c r="E328" t="s">
        <v>44</v>
      </c>
      <c r="F328" t="s">
        <v>25</v>
      </c>
      <c r="G328" t="s">
        <v>26</v>
      </c>
      <c r="H328">
        <v>5</v>
      </c>
      <c r="I328" s="5">
        <v>71363</v>
      </c>
      <c r="J328" s="5">
        <v>356815</v>
      </c>
      <c r="K328" s="5">
        <v>235909.51</v>
      </c>
      <c r="L328" s="5">
        <v>120905.49</v>
      </c>
      <c r="M328" s="6">
        <f t="shared" si="5"/>
        <v>0.33884643302551742</v>
      </c>
    </row>
    <row r="329" spans="1:13" x14ac:dyDescent="0.35">
      <c r="A329">
        <v>2327</v>
      </c>
      <c r="B329" s="4">
        <v>45393</v>
      </c>
      <c r="C329" t="s">
        <v>18</v>
      </c>
      <c r="D329" t="s">
        <v>33</v>
      </c>
      <c r="E329" t="s">
        <v>34</v>
      </c>
      <c r="F329" t="s">
        <v>25</v>
      </c>
      <c r="G329" t="s">
        <v>26</v>
      </c>
      <c r="H329">
        <v>3</v>
      </c>
      <c r="I329" s="5">
        <v>65839</v>
      </c>
      <c r="J329" s="5">
        <v>197517</v>
      </c>
      <c r="K329" s="5">
        <v>158325.59</v>
      </c>
      <c r="L329" s="5">
        <v>39191.410000000003</v>
      </c>
      <c r="M329" s="6">
        <f t="shared" si="5"/>
        <v>0.19842043975961565</v>
      </c>
    </row>
    <row r="330" spans="1:13" x14ac:dyDescent="0.35">
      <c r="A330">
        <v>2328</v>
      </c>
      <c r="B330" s="4">
        <v>45482</v>
      </c>
      <c r="C330" t="s">
        <v>22</v>
      </c>
      <c r="D330" t="s">
        <v>19</v>
      </c>
      <c r="E330" t="s">
        <v>20</v>
      </c>
      <c r="F330" t="s">
        <v>16</v>
      </c>
      <c r="G330" t="s">
        <v>36</v>
      </c>
      <c r="H330">
        <v>3</v>
      </c>
      <c r="I330" s="5">
        <v>59124</v>
      </c>
      <c r="J330" s="5">
        <v>177372</v>
      </c>
      <c r="K330" s="5">
        <v>119695.72</v>
      </c>
      <c r="L330" s="5">
        <v>57676.28</v>
      </c>
      <c r="M330" s="6">
        <f t="shared" si="5"/>
        <v>0.32517127844304622</v>
      </c>
    </row>
    <row r="331" spans="1:13" x14ac:dyDescent="0.35">
      <c r="A331">
        <v>2329</v>
      </c>
      <c r="B331" s="4">
        <v>45517</v>
      </c>
      <c r="C331" t="s">
        <v>22</v>
      </c>
      <c r="D331" t="s">
        <v>23</v>
      </c>
      <c r="E331" t="s">
        <v>38</v>
      </c>
      <c r="F331" t="s">
        <v>25</v>
      </c>
      <c r="G331" t="s">
        <v>31</v>
      </c>
      <c r="H331">
        <v>2</v>
      </c>
      <c r="I331" s="5">
        <v>26762</v>
      </c>
      <c r="J331" s="5">
        <v>53524</v>
      </c>
      <c r="K331" s="5">
        <v>44577.98</v>
      </c>
      <c r="L331" s="5">
        <v>8946.02</v>
      </c>
      <c r="M331" s="6">
        <f t="shared" si="5"/>
        <v>0.16714034825498841</v>
      </c>
    </row>
    <row r="332" spans="1:13" x14ac:dyDescent="0.35">
      <c r="A332">
        <v>2330</v>
      </c>
      <c r="B332" s="4">
        <v>45391</v>
      </c>
      <c r="C332" t="s">
        <v>22</v>
      </c>
      <c r="D332" t="s">
        <v>19</v>
      </c>
      <c r="E332" t="s">
        <v>44</v>
      </c>
      <c r="F332" t="s">
        <v>25</v>
      </c>
      <c r="G332" t="s">
        <v>39</v>
      </c>
      <c r="H332">
        <v>1</v>
      </c>
      <c r="I332" s="5">
        <v>28572</v>
      </c>
      <c r="J332" s="5">
        <v>28572</v>
      </c>
      <c r="K332" s="5">
        <v>23872.93</v>
      </c>
      <c r="L332" s="5">
        <v>4699.07</v>
      </c>
      <c r="M332" s="6">
        <f t="shared" si="5"/>
        <v>0.16446416071678566</v>
      </c>
    </row>
    <row r="333" spans="1:13" x14ac:dyDescent="0.35">
      <c r="A333">
        <v>2331</v>
      </c>
      <c r="B333" s="4">
        <v>45483</v>
      </c>
      <c r="C333" t="s">
        <v>27</v>
      </c>
      <c r="D333" t="s">
        <v>33</v>
      </c>
      <c r="E333" t="s">
        <v>41</v>
      </c>
      <c r="F333" t="s">
        <v>16</v>
      </c>
      <c r="G333" t="s">
        <v>21</v>
      </c>
      <c r="H333">
        <v>2</v>
      </c>
      <c r="I333" s="5">
        <v>66621</v>
      </c>
      <c r="J333" s="5">
        <v>133242</v>
      </c>
      <c r="K333" s="5">
        <v>112135.24</v>
      </c>
      <c r="L333" s="5">
        <v>21106.76</v>
      </c>
      <c r="M333" s="6">
        <f t="shared" si="5"/>
        <v>0.15840921030906169</v>
      </c>
    </row>
    <row r="334" spans="1:13" x14ac:dyDescent="0.35">
      <c r="A334">
        <v>2332</v>
      </c>
      <c r="B334" s="4">
        <v>45613</v>
      </c>
      <c r="C334" t="s">
        <v>37</v>
      </c>
      <c r="D334" t="s">
        <v>23</v>
      </c>
      <c r="E334" t="s">
        <v>24</v>
      </c>
      <c r="F334" t="s">
        <v>25</v>
      </c>
      <c r="G334" t="s">
        <v>26</v>
      </c>
      <c r="H334">
        <v>1</v>
      </c>
      <c r="I334" s="5">
        <v>67288</v>
      </c>
      <c r="J334" s="5">
        <v>67288</v>
      </c>
      <c r="K334" s="5">
        <v>56822.18</v>
      </c>
      <c r="L334" s="5">
        <v>10465.82</v>
      </c>
      <c r="M334" s="6">
        <f t="shared" si="5"/>
        <v>0.15553768874093449</v>
      </c>
    </row>
    <row r="335" spans="1:13" x14ac:dyDescent="0.35">
      <c r="A335">
        <v>2333</v>
      </c>
      <c r="B335" s="4">
        <v>45536</v>
      </c>
      <c r="C335" t="s">
        <v>37</v>
      </c>
      <c r="D335" t="s">
        <v>14</v>
      </c>
      <c r="E335" t="s">
        <v>15</v>
      </c>
      <c r="F335" t="s">
        <v>16</v>
      </c>
      <c r="G335" t="s">
        <v>31</v>
      </c>
      <c r="H335">
        <v>1</v>
      </c>
      <c r="I335" s="5">
        <v>55976</v>
      </c>
      <c r="J335" s="5">
        <v>55976</v>
      </c>
      <c r="K335" s="5">
        <v>37982.720000000001</v>
      </c>
      <c r="L335" s="5">
        <v>17993.28</v>
      </c>
      <c r="M335" s="6">
        <f t="shared" si="5"/>
        <v>0.32144633414320423</v>
      </c>
    </row>
    <row r="336" spans="1:13" x14ac:dyDescent="0.35">
      <c r="A336">
        <v>2334</v>
      </c>
      <c r="B336" s="4">
        <v>45384</v>
      </c>
      <c r="C336" t="s">
        <v>35</v>
      </c>
      <c r="D336" t="s">
        <v>33</v>
      </c>
      <c r="E336" t="s">
        <v>41</v>
      </c>
      <c r="F336" t="s">
        <v>16</v>
      </c>
      <c r="G336" t="s">
        <v>26</v>
      </c>
      <c r="H336">
        <v>4</v>
      </c>
      <c r="I336" s="5">
        <v>26967</v>
      </c>
      <c r="J336" s="5">
        <v>107868</v>
      </c>
      <c r="K336" s="5">
        <v>79584.39</v>
      </c>
      <c r="L336" s="5">
        <v>28283.61</v>
      </c>
      <c r="M336" s="6">
        <f t="shared" si="5"/>
        <v>0.26220575147402381</v>
      </c>
    </row>
    <row r="337" spans="1:13" x14ac:dyDescent="0.35">
      <c r="A337">
        <v>2335</v>
      </c>
      <c r="B337" s="4">
        <v>45502</v>
      </c>
      <c r="C337" t="s">
        <v>18</v>
      </c>
      <c r="D337" t="s">
        <v>33</v>
      </c>
      <c r="E337" t="s">
        <v>34</v>
      </c>
      <c r="F337" t="s">
        <v>25</v>
      </c>
      <c r="G337" t="s">
        <v>17</v>
      </c>
      <c r="H337">
        <v>2</v>
      </c>
      <c r="I337" s="5">
        <v>28406</v>
      </c>
      <c r="J337" s="5">
        <v>56812</v>
      </c>
      <c r="K337" s="5">
        <v>37216.629999999997</v>
      </c>
      <c r="L337" s="5">
        <v>19595.37</v>
      </c>
      <c r="M337" s="6">
        <f t="shared" si="5"/>
        <v>0.34491603886502847</v>
      </c>
    </row>
    <row r="338" spans="1:13" x14ac:dyDescent="0.35">
      <c r="A338">
        <v>2336</v>
      </c>
      <c r="B338" s="4">
        <v>45463</v>
      </c>
      <c r="C338" t="s">
        <v>37</v>
      </c>
      <c r="D338" t="s">
        <v>28</v>
      </c>
      <c r="E338" t="s">
        <v>29</v>
      </c>
      <c r="F338" t="s">
        <v>30</v>
      </c>
      <c r="G338" t="s">
        <v>36</v>
      </c>
      <c r="H338">
        <v>2</v>
      </c>
      <c r="I338" s="5">
        <v>42166</v>
      </c>
      <c r="J338" s="5">
        <v>84332</v>
      </c>
      <c r="K338" s="5">
        <v>63097.32</v>
      </c>
      <c r="L338" s="5">
        <v>21234.68</v>
      </c>
      <c r="M338" s="6">
        <f t="shared" si="5"/>
        <v>0.25179860551154959</v>
      </c>
    </row>
    <row r="339" spans="1:13" x14ac:dyDescent="0.35">
      <c r="A339">
        <v>2337</v>
      </c>
      <c r="B339" s="4">
        <v>45350</v>
      </c>
      <c r="C339" t="s">
        <v>22</v>
      </c>
      <c r="D339" t="s">
        <v>14</v>
      </c>
      <c r="E339" t="s">
        <v>15</v>
      </c>
      <c r="F339" t="s">
        <v>16</v>
      </c>
      <c r="G339" t="s">
        <v>17</v>
      </c>
      <c r="H339">
        <v>2</v>
      </c>
      <c r="I339" s="5">
        <v>75299</v>
      </c>
      <c r="J339" s="5">
        <v>150598</v>
      </c>
      <c r="K339" s="5">
        <v>99601.09</v>
      </c>
      <c r="L339" s="5">
        <v>50996.91</v>
      </c>
      <c r="M339" s="6">
        <f t="shared" si="5"/>
        <v>0.33862939746875792</v>
      </c>
    </row>
    <row r="340" spans="1:13" x14ac:dyDescent="0.35">
      <c r="A340">
        <v>2338</v>
      </c>
      <c r="B340" s="4">
        <v>45438</v>
      </c>
      <c r="C340" t="s">
        <v>32</v>
      </c>
      <c r="D340" t="s">
        <v>33</v>
      </c>
      <c r="E340" t="s">
        <v>41</v>
      </c>
      <c r="F340" t="s">
        <v>16</v>
      </c>
      <c r="G340" t="s">
        <v>17</v>
      </c>
      <c r="H340">
        <v>1</v>
      </c>
      <c r="I340" s="5">
        <v>41789</v>
      </c>
      <c r="J340" s="5">
        <v>41789</v>
      </c>
      <c r="K340" s="5">
        <v>33471.74</v>
      </c>
      <c r="L340" s="5">
        <v>8317.26</v>
      </c>
      <c r="M340" s="6">
        <f t="shared" si="5"/>
        <v>0.19902988824810358</v>
      </c>
    </row>
    <row r="341" spans="1:13" x14ac:dyDescent="0.35">
      <c r="A341">
        <v>2339</v>
      </c>
      <c r="B341" s="4">
        <v>45414</v>
      </c>
      <c r="C341" t="s">
        <v>22</v>
      </c>
      <c r="D341" t="s">
        <v>14</v>
      </c>
      <c r="E341" t="s">
        <v>15</v>
      </c>
      <c r="F341" t="s">
        <v>16</v>
      </c>
      <c r="G341" t="s">
        <v>36</v>
      </c>
      <c r="H341">
        <v>2</v>
      </c>
      <c r="I341" s="5">
        <v>20788</v>
      </c>
      <c r="J341" s="5">
        <v>41576</v>
      </c>
      <c r="K341" s="5">
        <v>30268.54</v>
      </c>
      <c r="L341" s="5">
        <v>11307.46</v>
      </c>
      <c r="M341" s="6">
        <f t="shared" si="5"/>
        <v>0.27197084856648063</v>
      </c>
    </row>
    <row r="342" spans="1:13" x14ac:dyDescent="0.35">
      <c r="A342">
        <v>2340</v>
      </c>
      <c r="B342" s="4">
        <v>45442</v>
      </c>
      <c r="C342" t="s">
        <v>13</v>
      </c>
      <c r="D342" t="s">
        <v>23</v>
      </c>
      <c r="E342" t="s">
        <v>24</v>
      </c>
      <c r="F342" t="s">
        <v>25</v>
      </c>
      <c r="G342" t="s">
        <v>26</v>
      </c>
      <c r="H342">
        <v>2</v>
      </c>
      <c r="I342" s="5">
        <v>10100</v>
      </c>
      <c r="J342" s="5">
        <v>20200</v>
      </c>
      <c r="K342" s="5">
        <v>14916.12</v>
      </c>
      <c r="L342" s="5">
        <v>5283.88</v>
      </c>
      <c r="M342" s="6">
        <f t="shared" si="5"/>
        <v>0.2615782178217822</v>
      </c>
    </row>
    <row r="343" spans="1:13" x14ac:dyDescent="0.35">
      <c r="A343">
        <v>2341</v>
      </c>
      <c r="B343" s="4">
        <v>45363</v>
      </c>
      <c r="C343" t="s">
        <v>18</v>
      </c>
      <c r="D343" t="s">
        <v>42</v>
      </c>
      <c r="E343" t="s">
        <v>43</v>
      </c>
      <c r="F343" t="s">
        <v>25</v>
      </c>
      <c r="G343" t="s">
        <v>21</v>
      </c>
      <c r="H343">
        <v>4</v>
      </c>
      <c r="I343" s="5">
        <v>8252</v>
      </c>
      <c r="J343" s="5">
        <v>33008</v>
      </c>
      <c r="K343" s="5">
        <v>26667.59</v>
      </c>
      <c r="L343" s="5">
        <v>6340.41</v>
      </c>
      <c r="M343" s="6">
        <f t="shared" si="5"/>
        <v>0.19208706980126031</v>
      </c>
    </row>
    <row r="344" spans="1:13" x14ac:dyDescent="0.35">
      <c r="A344">
        <v>2342</v>
      </c>
      <c r="B344" s="4">
        <v>45476</v>
      </c>
      <c r="C344" t="s">
        <v>18</v>
      </c>
      <c r="D344" t="s">
        <v>42</v>
      </c>
      <c r="E344" t="s">
        <v>43</v>
      </c>
      <c r="F344" t="s">
        <v>25</v>
      </c>
      <c r="G344" t="s">
        <v>31</v>
      </c>
      <c r="H344">
        <v>4</v>
      </c>
      <c r="I344" s="5">
        <v>13314</v>
      </c>
      <c r="J344" s="5">
        <v>53256</v>
      </c>
      <c r="K344" s="5">
        <v>44330.1</v>
      </c>
      <c r="L344" s="5">
        <v>8925.9</v>
      </c>
      <c r="M344" s="6">
        <f t="shared" si="5"/>
        <v>0.16760365029292473</v>
      </c>
    </row>
    <row r="345" spans="1:13" x14ac:dyDescent="0.35">
      <c r="A345">
        <v>2343</v>
      </c>
      <c r="B345" s="4">
        <v>45384</v>
      </c>
      <c r="C345" t="s">
        <v>18</v>
      </c>
      <c r="D345" t="s">
        <v>33</v>
      </c>
      <c r="E345" t="s">
        <v>41</v>
      </c>
      <c r="F345" t="s">
        <v>16</v>
      </c>
      <c r="G345" t="s">
        <v>21</v>
      </c>
      <c r="H345">
        <v>2</v>
      </c>
      <c r="I345" s="5">
        <v>31609</v>
      </c>
      <c r="J345" s="5">
        <v>63218</v>
      </c>
      <c r="K345" s="5">
        <v>47687.27</v>
      </c>
      <c r="L345" s="5">
        <v>15530.73</v>
      </c>
      <c r="M345" s="6">
        <f t="shared" si="5"/>
        <v>0.24566942959283747</v>
      </c>
    </row>
    <row r="346" spans="1:13" x14ac:dyDescent="0.35">
      <c r="A346">
        <v>2344</v>
      </c>
      <c r="B346" s="4">
        <v>45392</v>
      </c>
      <c r="C346" t="s">
        <v>35</v>
      </c>
      <c r="D346" t="s">
        <v>33</v>
      </c>
      <c r="E346" t="s">
        <v>41</v>
      </c>
      <c r="F346" t="s">
        <v>16</v>
      </c>
      <c r="G346" t="s">
        <v>31</v>
      </c>
      <c r="H346">
        <v>5</v>
      </c>
      <c r="I346" s="5">
        <v>18389</v>
      </c>
      <c r="J346" s="5">
        <v>91945</v>
      </c>
      <c r="K346" s="5">
        <v>75008.2</v>
      </c>
      <c r="L346" s="5">
        <v>16936.8</v>
      </c>
      <c r="M346" s="6">
        <f t="shared" si="5"/>
        <v>0.18420577519169068</v>
      </c>
    </row>
    <row r="347" spans="1:13" x14ac:dyDescent="0.35">
      <c r="A347">
        <v>2345</v>
      </c>
      <c r="B347" s="4">
        <v>45432</v>
      </c>
      <c r="C347" t="s">
        <v>35</v>
      </c>
      <c r="D347" t="s">
        <v>28</v>
      </c>
      <c r="E347" t="s">
        <v>29</v>
      </c>
      <c r="F347" t="s">
        <v>30</v>
      </c>
      <c r="G347" t="s">
        <v>17</v>
      </c>
      <c r="H347">
        <v>2</v>
      </c>
      <c r="I347" s="5">
        <v>35005</v>
      </c>
      <c r="J347" s="5">
        <v>70010</v>
      </c>
      <c r="K347" s="5">
        <v>47425.35</v>
      </c>
      <c r="L347" s="5">
        <v>22584.65</v>
      </c>
      <c r="M347" s="6">
        <f t="shared" si="5"/>
        <v>0.32259177260391375</v>
      </c>
    </row>
    <row r="348" spans="1:13" x14ac:dyDescent="0.35">
      <c r="A348">
        <v>2346</v>
      </c>
      <c r="B348" s="4">
        <v>45395</v>
      </c>
      <c r="C348" t="s">
        <v>32</v>
      </c>
      <c r="D348" t="s">
        <v>33</v>
      </c>
      <c r="E348" t="s">
        <v>41</v>
      </c>
      <c r="F348" t="s">
        <v>16</v>
      </c>
      <c r="G348" t="s">
        <v>36</v>
      </c>
      <c r="H348">
        <v>1</v>
      </c>
      <c r="I348" s="5">
        <v>16610</v>
      </c>
      <c r="J348" s="5">
        <v>16610</v>
      </c>
      <c r="K348" s="5">
        <v>13096.13</v>
      </c>
      <c r="L348" s="5">
        <v>3513.87</v>
      </c>
      <c r="M348" s="6">
        <f t="shared" si="5"/>
        <v>0.21155147501505117</v>
      </c>
    </row>
    <row r="349" spans="1:13" x14ac:dyDescent="0.35">
      <c r="A349">
        <v>2347</v>
      </c>
      <c r="B349" s="4">
        <v>45320</v>
      </c>
      <c r="C349" t="s">
        <v>22</v>
      </c>
      <c r="D349" t="s">
        <v>42</v>
      </c>
      <c r="E349" t="s">
        <v>43</v>
      </c>
      <c r="F349" t="s">
        <v>25</v>
      </c>
      <c r="G349" t="s">
        <v>39</v>
      </c>
      <c r="H349">
        <v>5</v>
      </c>
      <c r="I349" s="5">
        <v>53566</v>
      </c>
      <c r="J349" s="5">
        <v>267830</v>
      </c>
      <c r="K349" s="5">
        <v>192045.86</v>
      </c>
      <c r="L349" s="5">
        <v>75784.14</v>
      </c>
      <c r="M349" s="6">
        <f t="shared" si="5"/>
        <v>0.28295612888772731</v>
      </c>
    </row>
    <row r="350" spans="1:13" x14ac:dyDescent="0.35">
      <c r="A350">
        <v>2348</v>
      </c>
      <c r="B350" s="4">
        <v>45501</v>
      </c>
      <c r="C350" t="s">
        <v>27</v>
      </c>
      <c r="D350" t="s">
        <v>23</v>
      </c>
      <c r="E350" t="s">
        <v>38</v>
      </c>
      <c r="F350" t="s">
        <v>25</v>
      </c>
      <c r="G350" t="s">
        <v>26</v>
      </c>
      <c r="H350">
        <v>4</v>
      </c>
      <c r="I350" s="5">
        <v>25469</v>
      </c>
      <c r="J350" s="5">
        <v>101876</v>
      </c>
      <c r="K350" s="5">
        <v>83986.85</v>
      </c>
      <c r="L350" s="5">
        <v>17889.150000000001</v>
      </c>
      <c r="M350" s="6">
        <f t="shared" si="5"/>
        <v>0.175597294750481</v>
      </c>
    </row>
    <row r="351" spans="1:13" x14ac:dyDescent="0.35">
      <c r="A351">
        <v>2349</v>
      </c>
      <c r="B351" s="4">
        <v>45580</v>
      </c>
      <c r="C351" t="s">
        <v>13</v>
      </c>
      <c r="D351" t="s">
        <v>14</v>
      </c>
      <c r="E351" t="s">
        <v>40</v>
      </c>
      <c r="F351" t="s">
        <v>25</v>
      </c>
      <c r="G351" t="s">
        <v>31</v>
      </c>
      <c r="H351">
        <v>3</v>
      </c>
      <c r="I351" s="5">
        <v>12806</v>
      </c>
      <c r="J351" s="5">
        <v>38418</v>
      </c>
      <c r="K351" s="5">
        <v>26227.88</v>
      </c>
      <c r="L351" s="5">
        <v>12190.12</v>
      </c>
      <c r="M351" s="6">
        <f t="shared" si="5"/>
        <v>0.31730230621063044</v>
      </c>
    </row>
    <row r="352" spans="1:13" x14ac:dyDescent="0.35">
      <c r="A352">
        <v>2350</v>
      </c>
      <c r="B352" s="4">
        <v>45294</v>
      </c>
      <c r="C352" t="s">
        <v>32</v>
      </c>
      <c r="D352" t="s">
        <v>14</v>
      </c>
      <c r="E352" t="s">
        <v>15</v>
      </c>
      <c r="F352" t="s">
        <v>16</v>
      </c>
      <c r="G352" t="s">
        <v>21</v>
      </c>
      <c r="H352">
        <v>3</v>
      </c>
      <c r="I352" s="5">
        <v>76134</v>
      </c>
      <c r="J352" s="5">
        <v>228402</v>
      </c>
      <c r="K352" s="5">
        <v>191040.86</v>
      </c>
      <c r="L352" s="5">
        <v>37361.14</v>
      </c>
      <c r="M352" s="6">
        <f t="shared" si="5"/>
        <v>0.16357623838670415</v>
      </c>
    </row>
    <row r="353" spans="1:13" x14ac:dyDescent="0.35">
      <c r="A353">
        <v>2351</v>
      </c>
      <c r="B353" s="4">
        <v>45474</v>
      </c>
      <c r="C353" t="s">
        <v>27</v>
      </c>
      <c r="D353" t="s">
        <v>42</v>
      </c>
      <c r="E353" t="s">
        <v>43</v>
      </c>
      <c r="F353" t="s">
        <v>25</v>
      </c>
      <c r="G353" t="s">
        <v>26</v>
      </c>
      <c r="H353">
        <v>2</v>
      </c>
      <c r="I353" s="5">
        <v>50071</v>
      </c>
      <c r="J353" s="5">
        <v>100142</v>
      </c>
      <c r="K353" s="5">
        <v>80696.91</v>
      </c>
      <c r="L353" s="5">
        <v>19445.09</v>
      </c>
      <c r="M353" s="6">
        <f t="shared" si="5"/>
        <v>0.19417517125681533</v>
      </c>
    </row>
    <row r="354" spans="1:13" x14ac:dyDescent="0.35">
      <c r="A354">
        <v>2352</v>
      </c>
      <c r="B354" s="4">
        <v>45441</v>
      </c>
      <c r="C354" t="s">
        <v>32</v>
      </c>
      <c r="D354" t="s">
        <v>23</v>
      </c>
      <c r="E354" t="s">
        <v>24</v>
      </c>
      <c r="F354" t="s">
        <v>25</v>
      </c>
      <c r="G354" t="s">
        <v>26</v>
      </c>
      <c r="H354">
        <v>1</v>
      </c>
      <c r="I354" s="5">
        <v>72854</v>
      </c>
      <c r="J354" s="5">
        <v>72854</v>
      </c>
      <c r="K354" s="5">
        <v>53860.07</v>
      </c>
      <c r="L354" s="5">
        <v>18993.93</v>
      </c>
      <c r="M354" s="6">
        <f t="shared" si="5"/>
        <v>0.26071224641062946</v>
      </c>
    </row>
    <row r="355" spans="1:13" x14ac:dyDescent="0.35">
      <c r="A355">
        <v>2353</v>
      </c>
      <c r="B355" s="4">
        <v>45360</v>
      </c>
      <c r="C355" t="s">
        <v>32</v>
      </c>
      <c r="D355" t="s">
        <v>19</v>
      </c>
      <c r="E355" t="s">
        <v>44</v>
      </c>
      <c r="F355" t="s">
        <v>25</v>
      </c>
      <c r="G355" t="s">
        <v>21</v>
      </c>
      <c r="H355">
        <v>1</v>
      </c>
      <c r="I355" s="5">
        <v>39920</v>
      </c>
      <c r="J355" s="5">
        <v>39920</v>
      </c>
      <c r="K355" s="5">
        <v>33671.93</v>
      </c>
      <c r="L355" s="5">
        <v>6248.07</v>
      </c>
      <c r="M355" s="6">
        <f t="shared" si="5"/>
        <v>0.15651477955911822</v>
      </c>
    </row>
    <row r="356" spans="1:13" x14ac:dyDescent="0.35">
      <c r="A356">
        <v>2354</v>
      </c>
      <c r="B356" s="4">
        <v>45377</v>
      </c>
      <c r="C356" t="s">
        <v>32</v>
      </c>
      <c r="D356" t="s">
        <v>33</v>
      </c>
      <c r="E356" t="s">
        <v>41</v>
      </c>
      <c r="F356" t="s">
        <v>16</v>
      </c>
      <c r="G356" t="s">
        <v>31</v>
      </c>
      <c r="H356">
        <v>1</v>
      </c>
      <c r="I356" s="5">
        <v>48883</v>
      </c>
      <c r="J356" s="5">
        <v>48883</v>
      </c>
      <c r="K356" s="5">
        <v>34222.58</v>
      </c>
      <c r="L356" s="5">
        <v>14660.42</v>
      </c>
      <c r="M356" s="6">
        <f t="shared" si="5"/>
        <v>0.29990835259701737</v>
      </c>
    </row>
    <row r="357" spans="1:13" x14ac:dyDescent="0.35">
      <c r="A357">
        <v>2355</v>
      </c>
      <c r="B357" s="4">
        <v>45649</v>
      </c>
      <c r="C357" t="s">
        <v>27</v>
      </c>
      <c r="D357" t="s">
        <v>19</v>
      </c>
      <c r="E357" t="s">
        <v>44</v>
      </c>
      <c r="F357" t="s">
        <v>25</v>
      </c>
      <c r="G357" t="s">
        <v>26</v>
      </c>
      <c r="H357">
        <v>2</v>
      </c>
      <c r="I357" s="5">
        <v>42264</v>
      </c>
      <c r="J357" s="5">
        <v>84528</v>
      </c>
      <c r="K357" s="5">
        <v>55242.22</v>
      </c>
      <c r="L357" s="5">
        <v>29285.78</v>
      </c>
      <c r="M357" s="6">
        <f t="shared" si="5"/>
        <v>0.3464624739731213</v>
      </c>
    </row>
    <row r="358" spans="1:13" x14ac:dyDescent="0.35">
      <c r="A358">
        <v>2356</v>
      </c>
      <c r="B358" s="4">
        <v>45529</v>
      </c>
      <c r="C358" t="s">
        <v>35</v>
      </c>
      <c r="D358" t="s">
        <v>28</v>
      </c>
      <c r="E358" t="s">
        <v>29</v>
      </c>
      <c r="F358" t="s">
        <v>30</v>
      </c>
      <c r="G358" t="s">
        <v>21</v>
      </c>
      <c r="H358">
        <v>5</v>
      </c>
      <c r="I358" s="5">
        <v>39243</v>
      </c>
      <c r="J358" s="5">
        <v>196215</v>
      </c>
      <c r="K358" s="5">
        <v>155113.66</v>
      </c>
      <c r="L358" s="5">
        <v>41101.339999999997</v>
      </c>
      <c r="M358" s="6">
        <f t="shared" si="5"/>
        <v>0.20947093749203677</v>
      </c>
    </row>
    <row r="359" spans="1:13" x14ac:dyDescent="0.35">
      <c r="A359">
        <v>2357</v>
      </c>
      <c r="B359" s="4">
        <v>45383</v>
      </c>
      <c r="C359" t="s">
        <v>18</v>
      </c>
      <c r="D359" t="s">
        <v>19</v>
      </c>
      <c r="E359" t="s">
        <v>20</v>
      </c>
      <c r="F359" t="s">
        <v>16</v>
      </c>
      <c r="G359" t="s">
        <v>26</v>
      </c>
      <c r="H359">
        <v>1</v>
      </c>
      <c r="I359" s="5">
        <v>43784</v>
      </c>
      <c r="J359" s="5">
        <v>43784</v>
      </c>
      <c r="K359" s="5">
        <v>29537.119999999999</v>
      </c>
      <c r="L359" s="5">
        <v>14246.88</v>
      </c>
      <c r="M359" s="6">
        <f t="shared" si="5"/>
        <v>0.32539009683902792</v>
      </c>
    </row>
    <row r="360" spans="1:13" x14ac:dyDescent="0.35">
      <c r="A360">
        <v>2358</v>
      </c>
      <c r="B360" s="4">
        <v>45435</v>
      </c>
      <c r="C360" t="s">
        <v>32</v>
      </c>
      <c r="D360" t="s">
        <v>23</v>
      </c>
      <c r="E360" t="s">
        <v>38</v>
      </c>
      <c r="F360" t="s">
        <v>25</v>
      </c>
      <c r="G360" t="s">
        <v>21</v>
      </c>
      <c r="H360">
        <v>1</v>
      </c>
      <c r="I360" s="5">
        <v>23995</v>
      </c>
      <c r="J360" s="5">
        <v>23995</v>
      </c>
      <c r="K360" s="5">
        <v>16180.04</v>
      </c>
      <c r="L360" s="5">
        <v>7814.96</v>
      </c>
      <c r="M360" s="6">
        <f t="shared" si="5"/>
        <v>0.32569118566367994</v>
      </c>
    </row>
    <row r="361" spans="1:13" x14ac:dyDescent="0.35">
      <c r="A361">
        <v>2359</v>
      </c>
      <c r="B361" s="4">
        <v>45408</v>
      </c>
      <c r="C361" t="s">
        <v>32</v>
      </c>
      <c r="D361" t="s">
        <v>33</v>
      </c>
      <c r="E361" t="s">
        <v>34</v>
      </c>
      <c r="F361" t="s">
        <v>25</v>
      </c>
      <c r="G361" t="s">
        <v>21</v>
      </c>
      <c r="H361">
        <v>2</v>
      </c>
      <c r="I361" s="5">
        <v>27296</v>
      </c>
      <c r="J361" s="5">
        <v>54592</v>
      </c>
      <c r="K361" s="5">
        <v>42786.76</v>
      </c>
      <c r="L361" s="5">
        <v>11805.24</v>
      </c>
      <c r="M361" s="6">
        <f t="shared" si="5"/>
        <v>0.21624487104337631</v>
      </c>
    </row>
    <row r="362" spans="1:13" x14ac:dyDescent="0.35">
      <c r="A362">
        <v>2360</v>
      </c>
      <c r="B362" s="4">
        <v>45376</v>
      </c>
      <c r="C362" t="s">
        <v>35</v>
      </c>
      <c r="D362" t="s">
        <v>23</v>
      </c>
      <c r="E362" t="s">
        <v>38</v>
      </c>
      <c r="F362" t="s">
        <v>25</v>
      </c>
      <c r="G362" t="s">
        <v>17</v>
      </c>
      <c r="H362">
        <v>1</v>
      </c>
      <c r="I362" s="5">
        <v>58953</v>
      </c>
      <c r="J362" s="5">
        <v>58953</v>
      </c>
      <c r="K362" s="5">
        <v>46500.58</v>
      </c>
      <c r="L362" s="5">
        <v>12452.42</v>
      </c>
      <c r="M362" s="6">
        <f t="shared" si="5"/>
        <v>0.21122623106542501</v>
      </c>
    </row>
    <row r="363" spans="1:13" x14ac:dyDescent="0.35">
      <c r="A363">
        <v>2361</v>
      </c>
      <c r="B363" s="4">
        <v>45561</v>
      </c>
      <c r="C363" t="s">
        <v>37</v>
      </c>
      <c r="D363" t="s">
        <v>28</v>
      </c>
      <c r="E363" t="s">
        <v>29</v>
      </c>
      <c r="F363" t="s">
        <v>30</v>
      </c>
      <c r="G363" t="s">
        <v>21</v>
      </c>
      <c r="H363">
        <v>1</v>
      </c>
      <c r="I363" s="5">
        <v>59856</v>
      </c>
      <c r="J363" s="5">
        <v>59856</v>
      </c>
      <c r="K363" s="5">
        <v>50524.35</v>
      </c>
      <c r="L363" s="5">
        <v>9331.65</v>
      </c>
      <c r="M363" s="6">
        <f t="shared" si="5"/>
        <v>0.1559016639935846</v>
      </c>
    </row>
    <row r="364" spans="1:13" x14ac:dyDescent="0.35">
      <c r="A364">
        <v>2362</v>
      </c>
      <c r="B364" s="4">
        <v>45465</v>
      </c>
      <c r="C364" t="s">
        <v>37</v>
      </c>
      <c r="D364" t="s">
        <v>19</v>
      </c>
      <c r="E364" t="s">
        <v>44</v>
      </c>
      <c r="F364" t="s">
        <v>25</v>
      </c>
      <c r="G364" t="s">
        <v>36</v>
      </c>
      <c r="H364">
        <v>4</v>
      </c>
      <c r="I364" s="5">
        <v>39506</v>
      </c>
      <c r="J364" s="5">
        <v>158024</v>
      </c>
      <c r="K364" s="5">
        <v>129218.39</v>
      </c>
      <c r="L364" s="5">
        <v>28805.61</v>
      </c>
      <c r="M364" s="6">
        <f t="shared" si="5"/>
        <v>0.18228629828380499</v>
      </c>
    </row>
    <row r="365" spans="1:13" x14ac:dyDescent="0.35">
      <c r="A365">
        <v>2363</v>
      </c>
      <c r="B365" s="4">
        <v>45456</v>
      </c>
      <c r="C365" t="s">
        <v>37</v>
      </c>
      <c r="D365" t="s">
        <v>23</v>
      </c>
      <c r="E365" t="s">
        <v>24</v>
      </c>
      <c r="F365" t="s">
        <v>25</v>
      </c>
      <c r="G365" t="s">
        <v>21</v>
      </c>
      <c r="H365">
        <v>4</v>
      </c>
      <c r="I365" s="5">
        <v>15019</v>
      </c>
      <c r="J365" s="5">
        <v>60076</v>
      </c>
      <c r="K365" s="5">
        <v>42952.9</v>
      </c>
      <c r="L365" s="5">
        <v>17123.099999999999</v>
      </c>
      <c r="M365" s="6">
        <f t="shared" si="5"/>
        <v>0.28502396963845794</v>
      </c>
    </row>
    <row r="366" spans="1:13" x14ac:dyDescent="0.35">
      <c r="A366">
        <v>2364</v>
      </c>
      <c r="B366" s="4">
        <v>45419</v>
      </c>
      <c r="C366" t="s">
        <v>35</v>
      </c>
      <c r="D366" t="s">
        <v>33</v>
      </c>
      <c r="E366" t="s">
        <v>34</v>
      </c>
      <c r="F366" t="s">
        <v>25</v>
      </c>
      <c r="G366" t="s">
        <v>36</v>
      </c>
      <c r="H366">
        <v>4</v>
      </c>
      <c r="I366" s="5">
        <v>9514</v>
      </c>
      <c r="J366" s="5">
        <v>38056</v>
      </c>
      <c r="K366" s="5">
        <v>27510.16</v>
      </c>
      <c r="L366" s="5">
        <v>10545.84</v>
      </c>
      <c r="M366" s="6">
        <f t="shared" si="5"/>
        <v>0.2771137271389531</v>
      </c>
    </row>
    <row r="367" spans="1:13" x14ac:dyDescent="0.35">
      <c r="A367">
        <v>2365</v>
      </c>
      <c r="B367" s="4">
        <v>45458</v>
      </c>
      <c r="C367" t="s">
        <v>13</v>
      </c>
      <c r="D367" t="s">
        <v>42</v>
      </c>
      <c r="E367" t="s">
        <v>43</v>
      </c>
      <c r="F367" t="s">
        <v>25</v>
      </c>
      <c r="G367" t="s">
        <v>26</v>
      </c>
      <c r="H367">
        <v>4</v>
      </c>
      <c r="I367" s="5">
        <v>34317</v>
      </c>
      <c r="J367" s="5">
        <v>137268</v>
      </c>
      <c r="K367" s="5">
        <v>103082.08</v>
      </c>
      <c r="L367" s="5">
        <v>34185.919999999998</v>
      </c>
      <c r="M367" s="6">
        <f t="shared" si="5"/>
        <v>0.2490450796981088</v>
      </c>
    </row>
    <row r="368" spans="1:13" x14ac:dyDescent="0.35">
      <c r="A368">
        <v>2366</v>
      </c>
      <c r="B368" s="4">
        <v>45507</v>
      </c>
      <c r="C368" t="s">
        <v>13</v>
      </c>
      <c r="D368" t="s">
        <v>19</v>
      </c>
      <c r="E368" t="s">
        <v>44</v>
      </c>
      <c r="F368" t="s">
        <v>25</v>
      </c>
      <c r="G368" t="s">
        <v>31</v>
      </c>
      <c r="H368">
        <v>4</v>
      </c>
      <c r="I368" s="5">
        <v>67471</v>
      </c>
      <c r="J368" s="5">
        <v>269884</v>
      </c>
      <c r="K368" s="5">
        <v>209603.33</v>
      </c>
      <c r="L368" s="5">
        <v>60280.67</v>
      </c>
      <c r="M368" s="6">
        <f t="shared" si="5"/>
        <v>0.22335770182745179</v>
      </c>
    </row>
    <row r="369" spans="1:13" x14ac:dyDescent="0.35">
      <c r="A369">
        <v>2367</v>
      </c>
      <c r="B369" s="4">
        <v>45609</v>
      </c>
      <c r="C369" t="s">
        <v>27</v>
      </c>
      <c r="D369" t="s">
        <v>19</v>
      </c>
      <c r="E369" t="s">
        <v>44</v>
      </c>
      <c r="F369" t="s">
        <v>25</v>
      </c>
      <c r="G369" t="s">
        <v>39</v>
      </c>
      <c r="H369">
        <v>3</v>
      </c>
      <c r="I369" s="5">
        <v>43839</v>
      </c>
      <c r="J369" s="5">
        <v>131517</v>
      </c>
      <c r="K369" s="5">
        <v>102011.14</v>
      </c>
      <c r="L369" s="5">
        <v>29505.86</v>
      </c>
      <c r="M369" s="6">
        <f t="shared" si="5"/>
        <v>0.22435016005535408</v>
      </c>
    </row>
    <row r="370" spans="1:13" x14ac:dyDescent="0.35">
      <c r="A370">
        <v>2368</v>
      </c>
      <c r="B370" s="4">
        <v>45420</v>
      </c>
      <c r="C370" t="s">
        <v>32</v>
      </c>
      <c r="D370" t="s">
        <v>19</v>
      </c>
      <c r="E370" t="s">
        <v>44</v>
      </c>
      <c r="F370" t="s">
        <v>25</v>
      </c>
      <c r="G370" t="s">
        <v>26</v>
      </c>
      <c r="H370">
        <v>1</v>
      </c>
      <c r="I370" s="5">
        <v>76197</v>
      </c>
      <c r="J370" s="5">
        <v>76197</v>
      </c>
      <c r="K370" s="5">
        <v>49736.33</v>
      </c>
      <c r="L370" s="5">
        <v>26460.67</v>
      </c>
      <c r="M370" s="6">
        <f t="shared" si="5"/>
        <v>0.34726655905088122</v>
      </c>
    </row>
    <row r="371" spans="1:13" x14ac:dyDescent="0.35">
      <c r="A371">
        <v>2369</v>
      </c>
      <c r="B371" s="4">
        <v>45349</v>
      </c>
      <c r="C371" t="s">
        <v>27</v>
      </c>
      <c r="D371" t="s">
        <v>33</v>
      </c>
      <c r="E371" t="s">
        <v>41</v>
      </c>
      <c r="F371" t="s">
        <v>16</v>
      </c>
      <c r="G371" t="s">
        <v>36</v>
      </c>
      <c r="H371">
        <v>3</v>
      </c>
      <c r="I371" s="5">
        <v>53554</v>
      </c>
      <c r="J371" s="5">
        <v>160662</v>
      </c>
      <c r="K371" s="5">
        <v>125236.67</v>
      </c>
      <c r="L371" s="5">
        <v>35425.33</v>
      </c>
      <c r="M371" s="6">
        <f t="shared" si="5"/>
        <v>0.22049601025755936</v>
      </c>
    </row>
    <row r="372" spans="1:13" x14ac:dyDescent="0.35">
      <c r="A372">
        <v>2370</v>
      </c>
      <c r="B372" s="4">
        <v>45555</v>
      </c>
      <c r="C372" t="s">
        <v>27</v>
      </c>
      <c r="D372" t="s">
        <v>19</v>
      </c>
      <c r="E372" t="s">
        <v>20</v>
      </c>
      <c r="F372" t="s">
        <v>16</v>
      </c>
      <c r="G372" t="s">
        <v>21</v>
      </c>
      <c r="H372">
        <v>3</v>
      </c>
      <c r="I372" s="5">
        <v>19072</v>
      </c>
      <c r="J372" s="5">
        <v>57216</v>
      </c>
      <c r="K372" s="5">
        <v>42527.71</v>
      </c>
      <c r="L372" s="5">
        <v>14688.29</v>
      </c>
      <c r="M372" s="6">
        <f t="shared" si="5"/>
        <v>0.2567164779082774</v>
      </c>
    </row>
    <row r="373" spans="1:13" x14ac:dyDescent="0.35">
      <c r="A373">
        <v>2371</v>
      </c>
      <c r="B373" s="4">
        <v>45355</v>
      </c>
      <c r="C373" t="s">
        <v>13</v>
      </c>
      <c r="D373" t="s">
        <v>42</v>
      </c>
      <c r="E373" t="s">
        <v>43</v>
      </c>
      <c r="F373" t="s">
        <v>25</v>
      </c>
      <c r="G373" t="s">
        <v>17</v>
      </c>
      <c r="H373">
        <v>5</v>
      </c>
      <c r="I373" s="5">
        <v>25218</v>
      </c>
      <c r="J373" s="5">
        <v>126090</v>
      </c>
      <c r="K373" s="5">
        <v>104281.23</v>
      </c>
      <c r="L373" s="5">
        <v>21808.77</v>
      </c>
      <c r="M373" s="6">
        <f t="shared" si="5"/>
        <v>0.17296193195336665</v>
      </c>
    </row>
    <row r="374" spans="1:13" x14ac:dyDescent="0.35">
      <c r="A374">
        <v>2372</v>
      </c>
      <c r="B374" s="4">
        <v>45432</v>
      </c>
      <c r="C374" t="s">
        <v>32</v>
      </c>
      <c r="D374" t="s">
        <v>23</v>
      </c>
      <c r="E374" t="s">
        <v>24</v>
      </c>
      <c r="F374" t="s">
        <v>25</v>
      </c>
      <c r="G374" t="s">
        <v>36</v>
      </c>
      <c r="H374">
        <v>2</v>
      </c>
      <c r="I374" s="5">
        <v>19514</v>
      </c>
      <c r="J374" s="5">
        <v>39028</v>
      </c>
      <c r="K374" s="5">
        <v>31147.49</v>
      </c>
      <c r="L374" s="5">
        <v>7880.51</v>
      </c>
      <c r="M374" s="6">
        <f t="shared" si="5"/>
        <v>0.20191939120631341</v>
      </c>
    </row>
    <row r="375" spans="1:13" x14ac:dyDescent="0.35">
      <c r="A375">
        <v>2373</v>
      </c>
      <c r="B375" s="4">
        <v>45604</v>
      </c>
      <c r="C375" t="s">
        <v>37</v>
      </c>
      <c r="D375" t="s">
        <v>14</v>
      </c>
      <c r="E375" t="s">
        <v>40</v>
      </c>
      <c r="F375" t="s">
        <v>25</v>
      </c>
      <c r="G375" t="s">
        <v>17</v>
      </c>
      <c r="H375">
        <v>5</v>
      </c>
      <c r="I375" s="5">
        <v>37047</v>
      </c>
      <c r="J375" s="5">
        <v>185235</v>
      </c>
      <c r="K375" s="5">
        <v>144496.54</v>
      </c>
      <c r="L375" s="5">
        <v>40738.46</v>
      </c>
      <c r="M375" s="6">
        <f t="shared" si="5"/>
        <v>0.21992852322725187</v>
      </c>
    </row>
    <row r="376" spans="1:13" x14ac:dyDescent="0.35">
      <c r="A376">
        <v>2374</v>
      </c>
      <c r="B376" s="4">
        <v>45479</v>
      </c>
      <c r="C376" t="s">
        <v>32</v>
      </c>
      <c r="D376" t="s">
        <v>33</v>
      </c>
      <c r="E376" t="s">
        <v>41</v>
      </c>
      <c r="F376" t="s">
        <v>16</v>
      </c>
      <c r="G376" t="s">
        <v>39</v>
      </c>
      <c r="H376">
        <v>4</v>
      </c>
      <c r="I376" s="5">
        <v>79831</v>
      </c>
      <c r="J376" s="5">
        <v>319324</v>
      </c>
      <c r="K376" s="5">
        <v>226956.42</v>
      </c>
      <c r="L376" s="5">
        <v>92367.58</v>
      </c>
      <c r="M376" s="6">
        <f t="shared" si="5"/>
        <v>0.28925974871916926</v>
      </c>
    </row>
    <row r="377" spans="1:13" x14ac:dyDescent="0.35">
      <c r="A377">
        <v>2375</v>
      </c>
      <c r="B377" s="4">
        <v>45307</v>
      </c>
      <c r="C377" t="s">
        <v>22</v>
      </c>
      <c r="D377" t="s">
        <v>23</v>
      </c>
      <c r="E377" t="s">
        <v>38</v>
      </c>
      <c r="F377" t="s">
        <v>25</v>
      </c>
      <c r="G377" t="s">
        <v>36</v>
      </c>
      <c r="H377">
        <v>2</v>
      </c>
      <c r="I377" s="5">
        <v>51734</v>
      </c>
      <c r="J377" s="5">
        <v>103468</v>
      </c>
      <c r="K377" s="5">
        <v>71839.5</v>
      </c>
      <c r="L377" s="5">
        <v>31628.5</v>
      </c>
      <c r="M377" s="6">
        <f t="shared" si="5"/>
        <v>0.30568388293965282</v>
      </c>
    </row>
    <row r="378" spans="1:13" x14ac:dyDescent="0.35">
      <c r="A378">
        <v>2376</v>
      </c>
      <c r="B378" s="4">
        <v>45591</v>
      </c>
      <c r="C378" t="s">
        <v>32</v>
      </c>
      <c r="D378" t="s">
        <v>42</v>
      </c>
      <c r="E378" t="s">
        <v>43</v>
      </c>
      <c r="F378" t="s">
        <v>25</v>
      </c>
      <c r="G378" t="s">
        <v>17</v>
      </c>
      <c r="H378">
        <v>4</v>
      </c>
      <c r="I378" s="5">
        <v>9556</v>
      </c>
      <c r="J378" s="5">
        <v>38224</v>
      </c>
      <c r="K378" s="5">
        <v>31910.86</v>
      </c>
      <c r="L378" s="5">
        <v>6313.14</v>
      </c>
      <c r="M378" s="6">
        <f t="shared" si="5"/>
        <v>0.16516167852658017</v>
      </c>
    </row>
    <row r="379" spans="1:13" x14ac:dyDescent="0.35">
      <c r="A379">
        <v>2377</v>
      </c>
      <c r="B379" s="4">
        <v>45457</v>
      </c>
      <c r="C379" t="s">
        <v>37</v>
      </c>
      <c r="D379" t="s">
        <v>33</v>
      </c>
      <c r="E379" t="s">
        <v>34</v>
      </c>
      <c r="F379" t="s">
        <v>25</v>
      </c>
      <c r="G379" t="s">
        <v>31</v>
      </c>
      <c r="H379">
        <v>5</v>
      </c>
      <c r="I379" s="5">
        <v>50661</v>
      </c>
      <c r="J379" s="5">
        <v>253305</v>
      </c>
      <c r="K379" s="5">
        <v>189543.44</v>
      </c>
      <c r="L379" s="5">
        <v>63761.56</v>
      </c>
      <c r="M379" s="6">
        <f t="shared" si="5"/>
        <v>0.25171852115039184</v>
      </c>
    </row>
    <row r="380" spans="1:13" x14ac:dyDescent="0.35">
      <c r="A380">
        <v>2378</v>
      </c>
      <c r="B380" s="4">
        <v>45321</v>
      </c>
      <c r="C380" t="s">
        <v>13</v>
      </c>
      <c r="D380" t="s">
        <v>14</v>
      </c>
      <c r="E380" t="s">
        <v>40</v>
      </c>
      <c r="F380" t="s">
        <v>25</v>
      </c>
      <c r="G380" t="s">
        <v>36</v>
      </c>
      <c r="H380">
        <v>1</v>
      </c>
      <c r="I380" s="5">
        <v>28783</v>
      </c>
      <c r="J380" s="5">
        <v>28783</v>
      </c>
      <c r="K380" s="5">
        <v>21881.58</v>
      </c>
      <c r="L380" s="5">
        <v>6901.42</v>
      </c>
      <c r="M380" s="6">
        <f t="shared" si="5"/>
        <v>0.23977417225445577</v>
      </c>
    </row>
    <row r="381" spans="1:13" x14ac:dyDescent="0.35">
      <c r="A381">
        <v>2379</v>
      </c>
      <c r="B381" s="4">
        <v>45517</v>
      </c>
      <c r="C381" t="s">
        <v>37</v>
      </c>
      <c r="D381" t="s">
        <v>28</v>
      </c>
      <c r="E381" t="s">
        <v>29</v>
      </c>
      <c r="F381" t="s">
        <v>30</v>
      </c>
      <c r="G381" t="s">
        <v>36</v>
      </c>
      <c r="H381">
        <v>1</v>
      </c>
      <c r="I381" s="5">
        <v>75763</v>
      </c>
      <c r="J381" s="5">
        <v>75763</v>
      </c>
      <c r="K381" s="5">
        <v>55123.45</v>
      </c>
      <c r="L381" s="5">
        <v>20639.55</v>
      </c>
      <c r="M381" s="6">
        <f t="shared" si="5"/>
        <v>0.27242255454509456</v>
      </c>
    </row>
    <row r="382" spans="1:13" x14ac:dyDescent="0.35">
      <c r="A382">
        <v>2380</v>
      </c>
      <c r="B382" s="4">
        <v>45347</v>
      </c>
      <c r="C382" t="s">
        <v>18</v>
      </c>
      <c r="D382" t="s">
        <v>23</v>
      </c>
      <c r="E382" t="s">
        <v>38</v>
      </c>
      <c r="F382" t="s">
        <v>25</v>
      </c>
      <c r="G382" t="s">
        <v>39</v>
      </c>
      <c r="H382">
        <v>5</v>
      </c>
      <c r="I382" s="5">
        <v>37513</v>
      </c>
      <c r="J382" s="5">
        <v>187565</v>
      </c>
      <c r="K382" s="5">
        <v>159029.10999999999</v>
      </c>
      <c r="L382" s="5">
        <v>28535.89</v>
      </c>
      <c r="M382" s="6">
        <f t="shared" si="5"/>
        <v>0.15213867192706529</v>
      </c>
    </row>
    <row r="383" spans="1:13" x14ac:dyDescent="0.35">
      <c r="A383">
        <v>2381</v>
      </c>
      <c r="B383" s="4">
        <v>45634</v>
      </c>
      <c r="C383" t="s">
        <v>22</v>
      </c>
      <c r="D383" t="s">
        <v>33</v>
      </c>
      <c r="E383" t="s">
        <v>34</v>
      </c>
      <c r="F383" t="s">
        <v>25</v>
      </c>
      <c r="G383" t="s">
        <v>36</v>
      </c>
      <c r="H383">
        <v>3</v>
      </c>
      <c r="I383" s="5">
        <v>26392</v>
      </c>
      <c r="J383" s="5">
        <v>79176</v>
      </c>
      <c r="K383" s="5">
        <v>62158.61</v>
      </c>
      <c r="L383" s="5">
        <v>17017.39</v>
      </c>
      <c r="M383" s="6">
        <f t="shared" si="5"/>
        <v>0.21493116600990197</v>
      </c>
    </row>
    <row r="384" spans="1:13" x14ac:dyDescent="0.35">
      <c r="A384">
        <v>2382</v>
      </c>
      <c r="B384" s="4">
        <v>45557</v>
      </c>
      <c r="C384" t="s">
        <v>32</v>
      </c>
      <c r="D384" t="s">
        <v>28</v>
      </c>
      <c r="E384" t="s">
        <v>29</v>
      </c>
      <c r="F384" t="s">
        <v>30</v>
      </c>
      <c r="G384" t="s">
        <v>36</v>
      </c>
      <c r="H384">
        <v>1</v>
      </c>
      <c r="I384" s="5">
        <v>70290</v>
      </c>
      <c r="J384" s="5">
        <v>70290</v>
      </c>
      <c r="K384" s="5">
        <v>49465.64</v>
      </c>
      <c r="L384" s="5">
        <v>20824.36</v>
      </c>
      <c r="M384" s="6">
        <f t="shared" si="5"/>
        <v>0.29626347986911367</v>
      </c>
    </row>
    <row r="385" spans="1:13" x14ac:dyDescent="0.35">
      <c r="A385">
        <v>2383</v>
      </c>
      <c r="B385" s="4">
        <v>45294</v>
      </c>
      <c r="C385" t="s">
        <v>22</v>
      </c>
      <c r="D385" t="s">
        <v>33</v>
      </c>
      <c r="E385" t="s">
        <v>34</v>
      </c>
      <c r="F385" t="s">
        <v>25</v>
      </c>
      <c r="G385" t="s">
        <v>26</v>
      </c>
      <c r="H385">
        <v>4</v>
      </c>
      <c r="I385" s="5">
        <v>23394</v>
      </c>
      <c r="J385" s="5">
        <v>93576</v>
      </c>
      <c r="K385" s="5">
        <v>70142.38</v>
      </c>
      <c r="L385" s="5">
        <v>23433.62</v>
      </c>
      <c r="M385" s="6">
        <f t="shared" si="5"/>
        <v>0.25042339916217832</v>
      </c>
    </row>
    <row r="386" spans="1:13" x14ac:dyDescent="0.35">
      <c r="A386">
        <v>2384</v>
      </c>
      <c r="B386" s="4">
        <v>45435</v>
      </c>
      <c r="C386" t="s">
        <v>13</v>
      </c>
      <c r="D386" t="s">
        <v>28</v>
      </c>
      <c r="E386" t="s">
        <v>29</v>
      </c>
      <c r="F386" t="s">
        <v>30</v>
      </c>
      <c r="G386" t="s">
        <v>17</v>
      </c>
      <c r="H386">
        <v>5</v>
      </c>
      <c r="I386" s="5">
        <v>22552</v>
      </c>
      <c r="J386" s="5">
        <v>112760</v>
      </c>
      <c r="K386" s="5">
        <v>81853.89</v>
      </c>
      <c r="L386" s="5">
        <v>30906.11</v>
      </c>
      <c r="M386" s="6">
        <f t="shared" si="5"/>
        <v>0.27408753103937566</v>
      </c>
    </row>
    <row r="387" spans="1:13" x14ac:dyDescent="0.35">
      <c r="A387">
        <v>2385</v>
      </c>
      <c r="B387" s="4">
        <v>45439</v>
      </c>
      <c r="C387" t="s">
        <v>35</v>
      </c>
      <c r="D387" t="s">
        <v>23</v>
      </c>
      <c r="E387" t="s">
        <v>38</v>
      </c>
      <c r="F387" t="s">
        <v>25</v>
      </c>
      <c r="G387" t="s">
        <v>17</v>
      </c>
      <c r="H387">
        <v>3</v>
      </c>
      <c r="I387" s="5">
        <v>46393</v>
      </c>
      <c r="J387" s="5">
        <v>139179</v>
      </c>
      <c r="K387" s="5">
        <v>100291.1</v>
      </c>
      <c r="L387" s="5">
        <v>38887.9</v>
      </c>
      <c r="M387" s="6">
        <f t="shared" ref="M387:M450" si="6">L387/J387</f>
        <v>0.27940924995868632</v>
      </c>
    </row>
    <row r="388" spans="1:13" x14ac:dyDescent="0.35">
      <c r="A388">
        <v>2386</v>
      </c>
      <c r="B388" s="4">
        <v>45488</v>
      </c>
      <c r="C388" t="s">
        <v>32</v>
      </c>
      <c r="D388" t="s">
        <v>42</v>
      </c>
      <c r="E388" t="s">
        <v>43</v>
      </c>
      <c r="F388" t="s">
        <v>25</v>
      </c>
      <c r="G388" t="s">
        <v>21</v>
      </c>
      <c r="H388">
        <v>3</v>
      </c>
      <c r="I388" s="5">
        <v>8886</v>
      </c>
      <c r="J388" s="5">
        <v>26658</v>
      </c>
      <c r="K388" s="5">
        <v>21524.080000000002</v>
      </c>
      <c r="L388" s="5">
        <v>5133.92</v>
      </c>
      <c r="M388" s="6">
        <f t="shared" si="6"/>
        <v>0.19258458999174732</v>
      </c>
    </row>
    <row r="389" spans="1:13" x14ac:dyDescent="0.35">
      <c r="A389">
        <v>2387</v>
      </c>
      <c r="B389" s="4">
        <v>45445</v>
      </c>
      <c r="C389" t="s">
        <v>22</v>
      </c>
      <c r="D389" t="s">
        <v>23</v>
      </c>
      <c r="E389" t="s">
        <v>38</v>
      </c>
      <c r="F389" t="s">
        <v>25</v>
      </c>
      <c r="G389" t="s">
        <v>17</v>
      </c>
      <c r="H389">
        <v>2</v>
      </c>
      <c r="I389" s="5">
        <v>78369</v>
      </c>
      <c r="J389" s="5">
        <v>156738</v>
      </c>
      <c r="K389" s="5">
        <v>111410.4</v>
      </c>
      <c r="L389" s="5">
        <v>45327.6</v>
      </c>
      <c r="M389" s="6">
        <f t="shared" si="6"/>
        <v>0.28919343107606321</v>
      </c>
    </row>
    <row r="390" spans="1:13" x14ac:dyDescent="0.35">
      <c r="A390">
        <v>2388</v>
      </c>
      <c r="B390" s="4">
        <v>45485</v>
      </c>
      <c r="C390" t="s">
        <v>22</v>
      </c>
      <c r="D390" t="s">
        <v>33</v>
      </c>
      <c r="E390" t="s">
        <v>34</v>
      </c>
      <c r="F390" t="s">
        <v>25</v>
      </c>
      <c r="G390" t="s">
        <v>21</v>
      </c>
      <c r="H390">
        <v>5</v>
      </c>
      <c r="I390" s="5">
        <v>38400</v>
      </c>
      <c r="J390" s="5">
        <v>192000</v>
      </c>
      <c r="K390" s="5">
        <v>128176.5</v>
      </c>
      <c r="L390" s="5">
        <v>63823.5</v>
      </c>
      <c r="M390" s="6">
        <f t="shared" si="6"/>
        <v>0.3324140625</v>
      </c>
    </row>
    <row r="391" spans="1:13" x14ac:dyDescent="0.35">
      <c r="A391">
        <v>2389</v>
      </c>
      <c r="B391" s="4">
        <v>45416</v>
      </c>
      <c r="C391" t="s">
        <v>18</v>
      </c>
      <c r="D391" t="s">
        <v>14</v>
      </c>
      <c r="E391" t="s">
        <v>15</v>
      </c>
      <c r="F391" t="s">
        <v>16</v>
      </c>
      <c r="G391" t="s">
        <v>21</v>
      </c>
      <c r="H391">
        <v>3</v>
      </c>
      <c r="I391" s="5">
        <v>34779</v>
      </c>
      <c r="J391" s="5">
        <v>104337</v>
      </c>
      <c r="K391" s="5">
        <v>88104.68</v>
      </c>
      <c r="L391" s="5">
        <v>16232.32</v>
      </c>
      <c r="M391" s="6">
        <f t="shared" si="6"/>
        <v>0.1555758743302951</v>
      </c>
    </row>
    <row r="392" spans="1:13" x14ac:dyDescent="0.35">
      <c r="A392">
        <v>2390</v>
      </c>
      <c r="B392" s="4">
        <v>45423</v>
      </c>
      <c r="C392" t="s">
        <v>27</v>
      </c>
      <c r="D392" t="s">
        <v>19</v>
      </c>
      <c r="E392" t="s">
        <v>44</v>
      </c>
      <c r="F392" t="s">
        <v>25</v>
      </c>
      <c r="G392" t="s">
        <v>26</v>
      </c>
      <c r="H392">
        <v>5</v>
      </c>
      <c r="I392" s="5">
        <v>73187</v>
      </c>
      <c r="J392" s="5">
        <v>365935</v>
      </c>
      <c r="K392" s="5">
        <v>259800.6</v>
      </c>
      <c r="L392" s="5">
        <v>106134.39999999999</v>
      </c>
      <c r="M392" s="6">
        <f t="shared" si="6"/>
        <v>0.29003620861628432</v>
      </c>
    </row>
    <row r="393" spans="1:13" x14ac:dyDescent="0.35">
      <c r="A393">
        <v>2391</v>
      </c>
      <c r="B393" s="4">
        <v>45567</v>
      </c>
      <c r="C393" t="s">
        <v>37</v>
      </c>
      <c r="D393" t="s">
        <v>42</v>
      </c>
      <c r="E393" t="s">
        <v>43</v>
      </c>
      <c r="F393" t="s">
        <v>25</v>
      </c>
      <c r="G393" t="s">
        <v>36</v>
      </c>
      <c r="H393">
        <v>5</v>
      </c>
      <c r="I393" s="5">
        <v>65299</v>
      </c>
      <c r="J393" s="5">
        <v>326495</v>
      </c>
      <c r="K393" s="5">
        <v>246010.58</v>
      </c>
      <c r="L393" s="5">
        <v>80484.42</v>
      </c>
      <c r="M393" s="6">
        <f t="shared" si="6"/>
        <v>0.24651042129282225</v>
      </c>
    </row>
    <row r="394" spans="1:13" x14ac:dyDescent="0.35">
      <c r="A394">
        <v>2392</v>
      </c>
      <c r="B394" s="4">
        <v>45512</v>
      </c>
      <c r="C394" t="s">
        <v>35</v>
      </c>
      <c r="D394" t="s">
        <v>42</v>
      </c>
      <c r="E394" t="s">
        <v>43</v>
      </c>
      <c r="F394" t="s">
        <v>25</v>
      </c>
      <c r="G394" t="s">
        <v>39</v>
      </c>
      <c r="H394">
        <v>4</v>
      </c>
      <c r="I394" s="5">
        <v>68849</v>
      </c>
      <c r="J394" s="5">
        <v>275396</v>
      </c>
      <c r="K394" s="5">
        <v>198709.89</v>
      </c>
      <c r="L394" s="5">
        <v>76686.11</v>
      </c>
      <c r="M394" s="6">
        <f t="shared" si="6"/>
        <v>0.27845760287004895</v>
      </c>
    </row>
    <row r="395" spans="1:13" x14ac:dyDescent="0.35">
      <c r="A395">
        <v>2393</v>
      </c>
      <c r="B395" s="4">
        <v>45523</v>
      </c>
      <c r="C395" t="s">
        <v>35</v>
      </c>
      <c r="D395" t="s">
        <v>28</v>
      </c>
      <c r="E395" t="s">
        <v>29</v>
      </c>
      <c r="F395" t="s">
        <v>30</v>
      </c>
      <c r="G395" t="s">
        <v>36</v>
      </c>
      <c r="H395">
        <v>1</v>
      </c>
      <c r="I395" s="5">
        <v>16948</v>
      </c>
      <c r="J395" s="5">
        <v>16948</v>
      </c>
      <c r="K395" s="5">
        <v>12796.58</v>
      </c>
      <c r="L395" s="5">
        <v>4151.42</v>
      </c>
      <c r="M395" s="6">
        <f t="shared" si="6"/>
        <v>0.24495043662969082</v>
      </c>
    </row>
    <row r="396" spans="1:13" x14ac:dyDescent="0.35">
      <c r="A396">
        <v>2394</v>
      </c>
      <c r="B396" s="4">
        <v>45548</v>
      </c>
      <c r="C396" t="s">
        <v>22</v>
      </c>
      <c r="D396" t="s">
        <v>19</v>
      </c>
      <c r="E396" t="s">
        <v>20</v>
      </c>
      <c r="F396" t="s">
        <v>16</v>
      </c>
      <c r="G396" t="s">
        <v>36</v>
      </c>
      <c r="H396">
        <v>4</v>
      </c>
      <c r="I396" s="5">
        <v>28213</v>
      </c>
      <c r="J396" s="5">
        <v>112852</v>
      </c>
      <c r="K396" s="5">
        <v>93212.03</v>
      </c>
      <c r="L396" s="5">
        <v>19639.97</v>
      </c>
      <c r="M396" s="6">
        <f t="shared" si="6"/>
        <v>0.17403298124977848</v>
      </c>
    </row>
    <row r="397" spans="1:13" x14ac:dyDescent="0.35">
      <c r="A397">
        <v>2395</v>
      </c>
      <c r="B397" s="4">
        <v>45517</v>
      </c>
      <c r="C397" t="s">
        <v>22</v>
      </c>
      <c r="D397" t="s">
        <v>23</v>
      </c>
      <c r="E397" t="s">
        <v>24</v>
      </c>
      <c r="F397" t="s">
        <v>25</v>
      </c>
      <c r="G397" t="s">
        <v>17</v>
      </c>
      <c r="H397">
        <v>5</v>
      </c>
      <c r="I397" s="5">
        <v>52994</v>
      </c>
      <c r="J397" s="5">
        <v>264970</v>
      </c>
      <c r="K397" s="5">
        <v>208879.99</v>
      </c>
      <c r="L397" s="5">
        <v>56090.01</v>
      </c>
      <c r="M397" s="6">
        <f t="shared" si="6"/>
        <v>0.21168437936370155</v>
      </c>
    </row>
    <row r="398" spans="1:13" x14ac:dyDescent="0.35">
      <c r="A398">
        <v>2396</v>
      </c>
      <c r="B398" s="4">
        <v>45454</v>
      </c>
      <c r="C398" t="s">
        <v>13</v>
      </c>
      <c r="D398" t="s">
        <v>19</v>
      </c>
      <c r="E398" t="s">
        <v>20</v>
      </c>
      <c r="F398" t="s">
        <v>16</v>
      </c>
      <c r="G398" t="s">
        <v>36</v>
      </c>
      <c r="H398">
        <v>3</v>
      </c>
      <c r="I398" s="5">
        <v>17841</v>
      </c>
      <c r="J398" s="5">
        <v>53523</v>
      </c>
      <c r="K398" s="5">
        <v>43632.26</v>
      </c>
      <c r="L398" s="5">
        <v>9890.74</v>
      </c>
      <c r="M398" s="6">
        <f t="shared" si="6"/>
        <v>0.18479420062403079</v>
      </c>
    </row>
    <row r="399" spans="1:13" x14ac:dyDescent="0.35">
      <c r="A399">
        <v>2397</v>
      </c>
      <c r="B399" s="4">
        <v>45627</v>
      </c>
      <c r="C399" t="s">
        <v>13</v>
      </c>
      <c r="D399" t="s">
        <v>42</v>
      </c>
      <c r="E399" t="s">
        <v>43</v>
      </c>
      <c r="F399" t="s">
        <v>25</v>
      </c>
      <c r="G399" t="s">
        <v>26</v>
      </c>
      <c r="H399">
        <v>3</v>
      </c>
      <c r="I399" s="5">
        <v>53004</v>
      </c>
      <c r="J399" s="5">
        <v>159012</v>
      </c>
      <c r="K399" s="5">
        <v>129453.41</v>
      </c>
      <c r="L399" s="5">
        <v>29558.59</v>
      </c>
      <c r="M399" s="6">
        <f t="shared" si="6"/>
        <v>0.18588905239856113</v>
      </c>
    </row>
    <row r="400" spans="1:13" x14ac:dyDescent="0.35">
      <c r="A400">
        <v>2398</v>
      </c>
      <c r="B400" s="4">
        <v>45372</v>
      </c>
      <c r="C400" t="s">
        <v>22</v>
      </c>
      <c r="D400" t="s">
        <v>42</v>
      </c>
      <c r="E400" t="s">
        <v>43</v>
      </c>
      <c r="F400" t="s">
        <v>25</v>
      </c>
      <c r="G400" t="s">
        <v>39</v>
      </c>
      <c r="H400">
        <v>5</v>
      </c>
      <c r="I400" s="5">
        <v>46001</v>
      </c>
      <c r="J400" s="5">
        <v>230005</v>
      </c>
      <c r="K400" s="5">
        <v>187047.55</v>
      </c>
      <c r="L400" s="5">
        <v>42957.45</v>
      </c>
      <c r="M400" s="6">
        <f t="shared" si="6"/>
        <v>0.18676746157692223</v>
      </c>
    </row>
    <row r="401" spans="1:13" x14ac:dyDescent="0.35">
      <c r="A401">
        <v>2399</v>
      </c>
      <c r="B401" s="4">
        <v>45503</v>
      </c>
      <c r="C401" t="s">
        <v>32</v>
      </c>
      <c r="D401" t="s">
        <v>33</v>
      </c>
      <c r="E401" t="s">
        <v>41</v>
      </c>
      <c r="F401" t="s">
        <v>16</v>
      </c>
      <c r="G401" t="s">
        <v>31</v>
      </c>
      <c r="H401">
        <v>2</v>
      </c>
      <c r="I401" s="5">
        <v>15886</v>
      </c>
      <c r="J401" s="5">
        <v>31772</v>
      </c>
      <c r="K401" s="5">
        <v>24655.7</v>
      </c>
      <c r="L401" s="5">
        <v>7116.3</v>
      </c>
      <c r="M401" s="6">
        <f t="shared" si="6"/>
        <v>0.22398023416845023</v>
      </c>
    </row>
    <row r="402" spans="1:13" x14ac:dyDescent="0.35">
      <c r="A402">
        <v>2400</v>
      </c>
      <c r="B402" s="4">
        <v>45583</v>
      </c>
      <c r="C402" t="s">
        <v>27</v>
      </c>
      <c r="D402" t="s">
        <v>28</v>
      </c>
      <c r="E402" t="s">
        <v>29</v>
      </c>
      <c r="F402" t="s">
        <v>30</v>
      </c>
      <c r="G402" t="s">
        <v>36</v>
      </c>
      <c r="H402">
        <v>1</v>
      </c>
      <c r="I402" s="5">
        <v>61925</v>
      </c>
      <c r="J402" s="5">
        <v>61925</v>
      </c>
      <c r="K402" s="5">
        <v>40384.19</v>
      </c>
      <c r="L402" s="5">
        <v>21540.81</v>
      </c>
      <c r="M402" s="6">
        <f t="shared" si="6"/>
        <v>0.34785320952765442</v>
      </c>
    </row>
    <row r="403" spans="1:13" x14ac:dyDescent="0.35">
      <c r="A403">
        <v>2401</v>
      </c>
      <c r="B403" s="4">
        <v>45645</v>
      </c>
      <c r="C403" t="s">
        <v>18</v>
      </c>
      <c r="D403" t="s">
        <v>19</v>
      </c>
      <c r="E403" t="s">
        <v>44</v>
      </c>
      <c r="F403" t="s">
        <v>25</v>
      </c>
      <c r="G403" t="s">
        <v>39</v>
      </c>
      <c r="H403">
        <v>5</v>
      </c>
      <c r="I403" s="5">
        <v>8512</v>
      </c>
      <c r="J403" s="5">
        <v>42560</v>
      </c>
      <c r="K403" s="5">
        <v>35469.78</v>
      </c>
      <c r="L403" s="5">
        <v>7090.22</v>
      </c>
      <c r="M403" s="6">
        <f t="shared" si="6"/>
        <v>0.16659351503759398</v>
      </c>
    </row>
    <row r="404" spans="1:13" x14ac:dyDescent="0.35">
      <c r="A404">
        <v>2402</v>
      </c>
      <c r="B404" s="4">
        <v>45592</v>
      </c>
      <c r="C404" t="s">
        <v>37</v>
      </c>
      <c r="D404" t="s">
        <v>23</v>
      </c>
      <c r="E404" t="s">
        <v>24</v>
      </c>
      <c r="F404" t="s">
        <v>25</v>
      </c>
      <c r="G404" t="s">
        <v>26</v>
      </c>
      <c r="H404">
        <v>1</v>
      </c>
      <c r="I404" s="5">
        <v>11870</v>
      </c>
      <c r="J404" s="5">
        <v>11870</v>
      </c>
      <c r="K404" s="5">
        <v>8182.35</v>
      </c>
      <c r="L404" s="5">
        <v>3687.65</v>
      </c>
      <c r="M404" s="6">
        <f t="shared" si="6"/>
        <v>0.31066975568660488</v>
      </c>
    </row>
    <row r="405" spans="1:13" x14ac:dyDescent="0.35">
      <c r="A405">
        <v>2403</v>
      </c>
      <c r="B405" s="4">
        <v>45582</v>
      </c>
      <c r="C405" t="s">
        <v>37</v>
      </c>
      <c r="D405" t="s">
        <v>23</v>
      </c>
      <c r="E405" t="s">
        <v>38</v>
      </c>
      <c r="F405" t="s">
        <v>25</v>
      </c>
      <c r="G405" t="s">
        <v>21</v>
      </c>
      <c r="H405">
        <v>3</v>
      </c>
      <c r="I405" s="5">
        <v>77663</v>
      </c>
      <c r="J405" s="5">
        <v>232989</v>
      </c>
      <c r="K405" s="5">
        <v>175409.77</v>
      </c>
      <c r="L405" s="5">
        <v>57579.23</v>
      </c>
      <c r="M405" s="6">
        <f t="shared" si="6"/>
        <v>0.24713282601324527</v>
      </c>
    </row>
    <row r="406" spans="1:13" x14ac:dyDescent="0.35">
      <c r="A406">
        <v>2404</v>
      </c>
      <c r="B406" s="4">
        <v>45502</v>
      </c>
      <c r="C406" t="s">
        <v>32</v>
      </c>
      <c r="D406" t="s">
        <v>33</v>
      </c>
      <c r="E406" t="s">
        <v>34</v>
      </c>
      <c r="F406" t="s">
        <v>25</v>
      </c>
      <c r="G406" t="s">
        <v>31</v>
      </c>
      <c r="H406">
        <v>5</v>
      </c>
      <c r="I406" s="5">
        <v>23925</v>
      </c>
      <c r="J406" s="5">
        <v>119625</v>
      </c>
      <c r="K406" s="5">
        <v>81233.84</v>
      </c>
      <c r="L406" s="5">
        <v>38391.160000000003</v>
      </c>
      <c r="M406" s="6">
        <f t="shared" si="6"/>
        <v>0.32092923719958205</v>
      </c>
    </row>
    <row r="407" spans="1:13" x14ac:dyDescent="0.35">
      <c r="A407">
        <v>2405</v>
      </c>
      <c r="B407" s="4">
        <v>45346</v>
      </c>
      <c r="C407" t="s">
        <v>37</v>
      </c>
      <c r="D407" t="s">
        <v>42</v>
      </c>
      <c r="E407" t="s">
        <v>43</v>
      </c>
      <c r="F407" t="s">
        <v>25</v>
      </c>
      <c r="G407" t="s">
        <v>21</v>
      </c>
      <c r="H407">
        <v>1</v>
      </c>
      <c r="I407" s="5">
        <v>21120</v>
      </c>
      <c r="J407" s="5">
        <v>21120</v>
      </c>
      <c r="K407" s="5">
        <v>14049.57</v>
      </c>
      <c r="L407" s="5">
        <v>7070.43</v>
      </c>
      <c r="M407" s="6">
        <f t="shared" si="6"/>
        <v>0.33477414772727276</v>
      </c>
    </row>
    <row r="408" spans="1:13" x14ac:dyDescent="0.35">
      <c r="A408">
        <v>2406</v>
      </c>
      <c r="B408" s="4">
        <v>45605</v>
      </c>
      <c r="C408" t="s">
        <v>22</v>
      </c>
      <c r="D408" t="s">
        <v>42</v>
      </c>
      <c r="E408" t="s">
        <v>43</v>
      </c>
      <c r="F408" t="s">
        <v>25</v>
      </c>
      <c r="G408" t="s">
        <v>17</v>
      </c>
      <c r="H408">
        <v>4</v>
      </c>
      <c r="I408" s="5">
        <v>16141</v>
      </c>
      <c r="J408" s="5">
        <v>64564</v>
      </c>
      <c r="K408" s="5">
        <v>50361.21</v>
      </c>
      <c r="L408" s="5">
        <v>14202.79</v>
      </c>
      <c r="M408" s="6">
        <f t="shared" si="6"/>
        <v>0.21998001982528964</v>
      </c>
    </row>
    <row r="409" spans="1:13" x14ac:dyDescent="0.35">
      <c r="A409">
        <v>2407</v>
      </c>
      <c r="B409" s="4">
        <v>45413</v>
      </c>
      <c r="C409" t="s">
        <v>18</v>
      </c>
      <c r="D409" t="s">
        <v>28</v>
      </c>
      <c r="E409" t="s">
        <v>29</v>
      </c>
      <c r="F409" t="s">
        <v>30</v>
      </c>
      <c r="G409" t="s">
        <v>31</v>
      </c>
      <c r="H409">
        <v>3</v>
      </c>
      <c r="I409" s="5">
        <v>44103</v>
      </c>
      <c r="J409" s="5">
        <v>132309</v>
      </c>
      <c r="K409" s="5">
        <v>90483.87</v>
      </c>
      <c r="L409" s="5">
        <v>41825.129999999997</v>
      </c>
      <c r="M409" s="6">
        <f t="shared" si="6"/>
        <v>0.31611704419200504</v>
      </c>
    </row>
    <row r="410" spans="1:13" x14ac:dyDescent="0.35">
      <c r="A410">
        <v>2408</v>
      </c>
      <c r="B410" s="4">
        <v>45590</v>
      </c>
      <c r="C410" t="s">
        <v>35</v>
      </c>
      <c r="D410" t="s">
        <v>14</v>
      </c>
      <c r="E410" t="s">
        <v>40</v>
      </c>
      <c r="F410" t="s">
        <v>25</v>
      </c>
      <c r="G410" t="s">
        <v>26</v>
      </c>
      <c r="H410">
        <v>1</v>
      </c>
      <c r="I410" s="5">
        <v>53730</v>
      </c>
      <c r="J410" s="5">
        <v>53730</v>
      </c>
      <c r="K410" s="5">
        <v>36984</v>
      </c>
      <c r="L410" s="5">
        <v>16746</v>
      </c>
      <c r="M410" s="6">
        <f t="shared" si="6"/>
        <v>0.31166945840312676</v>
      </c>
    </row>
    <row r="411" spans="1:13" x14ac:dyDescent="0.35">
      <c r="A411">
        <v>2409</v>
      </c>
      <c r="B411" s="4">
        <v>45319</v>
      </c>
      <c r="C411" t="s">
        <v>22</v>
      </c>
      <c r="D411" t="s">
        <v>28</v>
      </c>
      <c r="E411" t="s">
        <v>29</v>
      </c>
      <c r="F411" t="s">
        <v>30</v>
      </c>
      <c r="G411" t="s">
        <v>26</v>
      </c>
      <c r="H411">
        <v>2</v>
      </c>
      <c r="I411" s="5">
        <v>59903</v>
      </c>
      <c r="J411" s="5">
        <v>119806</v>
      </c>
      <c r="K411" s="5">
        <v>91835.18</v>
      </c>
      <c r="L411" s="5">
        <v>27970.82</v>
      </c>
      <c r="M411" s="6">
        <f t="shared" si="6"/>
        <v>0.23346760596297347</v>
      </c>
    </row>
    <row r="412" spans="1:13" x14ac:dyDescent="0.35">
      <c r="A412">
        <v>2410</v>
      </c>
      <c r="B412" s="4">
        <v>45609</v>
      </c>
      <c r="C412" t="s">
        <v>22</v>
      </c>
      <c r="D412" t="s">
        <v>19</v>
      </c>
      <c r="E412" t="s">
        <v>44</v>
      </c>
      <c r="F412" t="s">
        <v>25</v>
      </c>
      <c r="G412" t="s">
        <v>26</v>
      </c>
      <c r="H412">
        <v>2</v>
      </c>
      <c r="I412" s="5">
        <v>40680</v>
      </c>
      <c r="J412" s="5">
        <v>81360</v>
      </c>
      <c r="K412" s="5">
        <v>56511.02</v>
      </c>
      <c r="L412" s="5">
        <v>24848.98</v>
      </c>
      <c r="M412" s="6">
        <f t="shared" si="6"/>
        <v>0.30542010816125859</v>
      </c>
    </row>
    <row r="413" spans="1:13" x14ac:dyDescent="0.35">
      <c r="A413">
        <v>2411</v>
      </c>
      <c r="B413" s="4">
        <v>45453</v>
      </c>
      <c r="C413" t="s">
        <v>32</v>
      </c>
      <c r="D413" t="s">
        <v>33</v>
      </c>
      <c r="E413" t="s">
        <v>34</v>
      </c>
      <c r="F413" t="s">
        <v>25</v>
      </c>
      <c r="G413" t="s">
        <v>31</v>
      </c>
      <c r="H413">
        <v>1</v>
      </c>
      <c r="I413" s="5">
        <v>67695</v>
      </c>
      <c r="J413" s="5">
        <v>67695</v>
      </c>
      <c r="K413" s="5">
        <v>48113.23</v>
      </c>
      <c r="L413" s="5">
        <v>19581.77</v>
      </c>
      <c r="M413" s="6">
        <f t="shared" si="6"/>
        <v>0.28926464288352166</v>
      </c>
    </row>
    <row r="414" spans="1:13" x14ac:dyDescent="0.35">
      <c r="A414">
        <v>2412</v>
      </c>
      <c r="B414" s="4">
        <v>45326</v>
      </c>
      <c r="C414" t="s">
        <v>18</v>
      </c>
      <c r="D414" t="s">
        <v>28</v>
      </c>
      <c r="E414" t="s">
        <v>29</v>
      </c>
      <c r="F414" t="s">
        <v>30</v>
      </c>
      <c r="G414" t="s">
        <v>17</v>
      </c>
      <c r="H414">
        <v>2</v>
      </c>
      <c r="I414" s="5">
        <v>59091</v>
      </c>
      <c r="J414" s="5">
        <v>118182</v>
      </c>
      <c r="K414" s="5">
        <v>92770.74</v>
      </c>
      <c r="L414" s="5">
        <v>25411.26</v>
      </c>
      <c r="M414" s="6">
        <f t="shared" si="6"/>
        <v>0.21501802304919529</v>
      </c>
    </row>
    <row r="415" spans="1:13" x14ac:dyDescent="0.35">
      <c r="A415">
        <v>2413</v>
      </c>
      <c r="B415" s="4">
        <v>45450</v>
      </c>
      <c r="C415" t="s">
        <v>13</v>
      </c>
      <c r="D415" t="s">
        <v>28</v>
      </c>
      <c r="E415" t="s">
        <v>29</v>
      </c>
      <c r="F415" t="s">
        <v>30</v>
      </c>
      <c r="G415" t="s">
        <v>17</v>
      </c>
      <c r="H415">
        <v>4</v>
      </c>
      <c r="I415" s="5">
        <v>71489</v>
      </c>
      <c r="J415" s="5">
        <v>285956</v>
      </c>
      <c r="K415" s="5">
        <v>187154</v>
      </c>
      <c r="L415" s="5">
        <v>98802</v>
      </c>
      <c r="M415" s="6">
        <f t="shared" si="6"/>
        <v>0.34551469456839512</v>
      </c>
    </row>
    <row r="416" spans="1:13" x14ac:dyDescent="0.35">
      <c r="A416">
        <v>2414</v>
      </c>
      <c r="B416" s="4">
        <v>45379</v>
      </c>
      <c r="C416" t="s">
        <v>27</v>
      </c>
      <c r="D416" t="s">
        <v>33</v>
      </c>
      <c r="E416" t="s">
        <v>41</v>
      </c>
      <c r="F416" t="s">
        <v>16</v>
      </c>
      <c r="G416" t="s">
        <v>31</v>
      </c>
      <c r="H416">
        <v>3</v>
      </c>
      <c r="I416" s="5">
        <v>57677</v>
      </c>
      <c r="J416" s="5">
        <v>173031</v>
      </c>
      <c r="K416" s="5">
        <v>118926.03</v>
      </c>
      <c r="L416" s="5">
        <v>54104.97</v>
      </c>
      <c r="M416" s="6">
        <f t="shared" si="6"/>
        <v>0.31268946027012501</v>
      </c>
    </row>
    <row r="417" spans="1:13" x14ac:dyDescent="0.35">
      <c r="A417">
        <v>2415</v>
      </c>
      <c r="B417" s="4">
        <v>45477</v>
      </c>
      <c r="C417" t="s">
        <v>22</v>
      </c>
      <c r="D417" t="s">
        <v>14</v>
      </c>
      <c r="E417" t="s">
        <v>40</v>
      </c>
      <c r="F417" t="s">
        <v>25</v>
      </c>
      <c r="G417" t="s">
        <v>21</v>
      </c>
      <c r="H417">
        <v>1</v>
      </c>
      <c r="I417" s="5">
        <v>51911</v>
      </c>
      <c r="J417" s="5">
        <v>51911</v>
      </c>
      <c r="K417" s="5">
        <v>39283.65</v>
      </c>
      <c r="L417" s="5">
        <v>12627.35</v>
      </c>
      <c r="M417" s="6">
        <f t="shared" si="6"/>
        <v>0.2432499855521951</v>
      </c>
    </row>
    <row r="418" spans="1:13" x14ac:dyDescent="0.35">
      <c r="A418">
        <v>2416</v>
      </c>
      <c r="B418" s="4">
        <v>45625</v>
      </c>
      <c r="C418" t="s">
        <v>18</v>
      </c>
      <c r="D418" t="s">
        <v>23</v>
      </c>
      <c r="E418" t="s">
        <v>24</v>
      </c>
      <c r="F418" t="s">
        <v>25</v>
      </c>
      <c r="G418" t="s">
        <v>17</v>
      </c>
      <c r="H418">
        <v>1</v>
      </c>
      <c r="I418" s="5">
        <v>24159</v>
      </c>
      <c r="J418" s="5">
        <v>24159</v>
      </c>
      <c r="K418" s="5">
        <v>17743.71</v>
      </c>
      <c r="L418" s="5">
        <v>6415.29</v>
      </c>
      <c r="M418" s="6">
        <f t="shared" si="6"/>
        <v>0.26554451757109154</v>
      </c>
    </row>
    <row r="419" spans="1:13" x14ac:dyDescent="0.35">
      <c r="A419">
        <v>2417</v>
      </c>
      <c r="B419" s="4">
        <v>45490</v>
      </c>
      <c r="C419" t="s">
        <v>32</v>
      </c>
      <c r="D419" t="s">
        <v>14</v>
      </c>
      <c r="E419" t="s">
        <v>15</v>
      </c>
      <c r="F419" t="s">
        <v>16</v>
      </c>
      <c r="G419" t="s">
        <v>31</v>
      </c>
      <c r="H419">
        <v>2</v>
      </c>
      <c r="I419" s="5">
        <v>69212</v>
      </c>
      <c r="J419" s="5">
        <v>138424</v>
      </c>
      <c r="K419" s="5">
        <v>97826.65</v>
      </c>
      <c r="L419" s="5">
        <v>40597.35</v>
      </c>
      <c r="M419" s="6">
        <f t="shared" si="6"/>
        <v>0.29328259550366986</v>
      </c>
    </row>
    <row r="420" spans="1:13" x14ac:dyDescent="0.35">
      <c r="A420">
        <v>2418</v>
      </c>
      <c r="B420" s="4">
        <v>45434</v>
      </c>
      <c r="C420" t="s">
        <v>22</v>
      </c>
      <c r="D420" t="s">
        <v>33</v>
      </c>
      <c r="E420" t="s">
        <v>41</v>
      </c>
      <c r="F420" t="s">
        <v>16</v>
      </c>
      <c r="G420" t="s">
        <v>26</v>
      </c>
      <c r="H420">
        <v>1</v>
      </c>
      <c r="I420" s="5">
        <v>52750</v>
      </c>
      <c r="J420" s="5">
        <v>52750</v>
      </c>
      <c r="K420" s="5">
        <v>42778.89</v>
      </c>
      <c r="L420" s="5">
        <v>9971.11</v>
      </c>
      <c r="M420" s="6">
        <f t="shared" si="6"/>
        <v>0.18902578199052134</v>
      </c>
    </row>
    <row r="421" spans="1:13" x14ac:dyDescent="0.35">
      <c r="A421">
        <v>2419</v>
      </c>
      <c r="B421" s="4">
        <v>45339</v>
      </c>
      <c r="C421" t="s">
        <v>35</v>
      </c>
      <c r="D421" t="s">
        <v>33</v>
      </c>
      <c r="E421" t="s">
        <v>41</v>
      </c>
      <c r="F421" t="s">
        <v>16</v>
      </c>
      <c r="G421" t="s">
        <v>31</v>
      </c>
      <c r="H421">
        <v>2</v>
      </c>
      <c r="I421" s="5">
        <v>43345</v>
      </c>
      <c r="J421" s="5">
        <v>86690</v>
      </c>
      <c r="K421" s="5">
        <v>65795.39</v>
      </c>
      <c r="L421" s="5">
        <v>20894.61</v>
      </c>
      <c r="M421" s="6">
        <f t="shared" si="6"/>
        <v>0.24102676202560849</v>
      </c>
    </row>
    <row r="422" spans="1:13" x14ac:dyDescent="0.35">
      <c r="A422">
        <v>2420</v>
      </c>
      <c r="B422" s="4">
        <v>45531</v>
      </c>
      <c r="C422" t="s">
        <v>32</v>
      </c>
      <c r="D422" t="s">
        <v>33</v>
      </c>
      <c r="E422" t="s">
        <v>34</v>
      </c>
      <c r="F422" t="s">
        <v>25</v>
      </c>
      <c r="G422" t="s">
        <v>17</v>
      </c>
      <c r="H422">
        <v>2</v>
      </c>
      <c r="I422" s="5">
        <v>28869</v>
      </c>
      <c r="J422" s="5">
        <v>57738</v>
      </c>
      <c r="K422" s="5">
        <v>41778.26</v>
      </c>
      <c r="L422" s="5">
        <v>15959.74</v>
      </c>
      <c r="M422" s="6">
        <f t="shared" si="6"/>
        <v>0.27641657140877757</v>
      </c>
    </row>
    <row r="423" spans="1:13" x14ac:dyDescent="0.35">
      <c r="A423">
        <v>2421</v>
      </c>
      <c r="B423" s="4">
        <v>45484</v>
      </c>
      <c r="C423" t="s">
        <v>35</v>
      </c>
      <c r="D423" t="s">
        <v>33</v>
      </c>
      <c r="E423" t="s">
        <v>41</v>
      </c>
      <c r="F423" t="s">
        <v>16</v>
      </c>
      <c r="G423" t="s">
        <v>17</v>
      </c>
      <c r="H423">
        <v>5</v>
      </c>
      <c r="I423" s="5">
        <v>35270</v>
      </c>
      <c r="J423" s="5">
        <v>176350</v>
      </c>
      <c r="K423" s="5">
        <v>125111.64</v>
      </c>
      <c r="L423" s="5">
        <v>51238.36</v>
      </c>
      <c r="M423" s="6">
        <f t="shared" si="6"/>
        <v>0.29054924865324638</v>
      </c>
    </row>
    <row r="424" spans="1:13" x14ac:dyDescent="0.35">
      <c r="A424">
        <v>2422</v>
      </c>
      <c r="B424" s="4">
        <v>45408</v>
      </c>
      <c r="C424" t="s">
        <v>32</v>
      </c>
      <c r="D424" t="s">
        <v>23</v>
      </c>
      <c r="E424" t="s">
        <v>38</v>
      </c>
      <c r="F424" t="s">
        <v>25</v>
      </c>
      <c r="G424" t="s">
        <v>31</v>
      </c>
      <c r="H424">
        <v>4</v>
      </c>
      <c r="I424" s="5">
        <v>25163</v>
      </c>
      <c r="J424" s="5">
        <v>100652</v>
      </c>
      <c r="K424" s="5">
        <v>84388.39</v>
      </c>
      <c r="L424" s="5">
        <v>16263.61</v>
      </c>
      <c r="M424" s="6">
        <f t="shared" si="6"/>
        <v>0.16158258156817551</v>
      </c>
    </row>
    <row r="425" spans="1:13" x14ac:dyDescent="0.35">
      <c r="A425">
        <v>2423</v>
      </c>
      <c r="B425" s="4">
        <v>45592</v>
      </c>
      <c r="C425" t="s">
        <v>32</v>
      </c>
      <c r="D425" t="s">
        <v>14</v>
      </c>
      <c r="E425" t="s">
        <v>40</v>
      </c>
      <c r="F425" t="s">
        <v>25</v>
      </c>
      <c r="G425" t="s">
        <v>17</v>
      </c>
      <c r="H425">
        <v>3</v>
      </c>
      <c r="I425" s="5">
        <v>78079</v>
      </c>
      <c r="J425" s="5">
        <v>234237</v>
      </c>
      <c r="K425" s="5">
        <v>163790.25</v>
      </c>
      <c r="L425" s="5">
        <v>70446.75</v>
      </c>
      <c r="M425" s="6">
        <f t="shared" si="6"/>
        <v>0.30074988153024501</v>
      </c>
    </row>
    <row r="426" spans="1:13" x14ac:dyDescent="0.35">
      <c r="A426">
        <v>2424</v>
      </c>
      <c r="B426" s="4">
        <v>45356</v>
      </c>
      <c r="C426" t="s">
        <v>32</v>
      </c>
      <c r="D426" t="s">
        <v>28</v>
      </c>
      <c r="E426" t="s">
        <v>29</v>
      </c>
      <c r="F426" t="s">
        <v>30</v>
      </c>
      <c r="G426" t="s">
        <v>31</v>
      </c>
      <c r="H426">
        <v>1</v>
      </c>
      <c r="I426" s="5">
        <v>75243</v>
      </c>
      <c r="J426" s="5">
        <v>75243</v>
      </c>
      <c r="K426" s="5">
        <v>50284.44</v>
      </c>
      <c r="L426" s="5">
        <v>24958.560000000001</v>
      </c>
      <c r="M426" s="6">
        <f t="shared" si="6"/>
        <v>0.33170607232566485</v>
      </c>
    </row>
    <row r="427" spans="1:13" x14ac:dyDescent="0.35">
      <c r="A427">
        <v>2425</v>
      </c>
      <c r="B427" s="4">
        <v>45306</v>
      </c>
      <c r="C427" t="s">
        <v>35</v>
      </c>
      <c r="D427" t="s">
        <v>14</v>
      </c>
      <c r="E427" t="s">
        <v>40</v>
      </c>
      <c r="F427" t="s">
        <v>25</v>
      </c>
      <c r="G427" t="s">
        <v>17</v>
      </c>
      <c r="H427">
        <v>5</v>
      </c>
      <c r="I427" s="5">
        <v>27014</v>
      </c>
      <c r="J427" s="5">
        <v>135070</v>
      </c>
      <c r="K427" s="5">
        <v>96191.15</v>
      </c>
      <c r="L427" s="5">
        <v>38878.85</v>
      </c>
      <c r="M427" s="6">
        <f t="shared" si="6"/>
        <v>0.28784222995483821</v>
      </c>
    </row>
    <row r="428" spans="1:13" x14ac:dyDescent="0.35">
      <c r="A428">
        <v>2426</v>
      </c>
      <c r="B428" s="4">
        <v>45647</v>
      </c>
      <c r="C428" t="s">
        <v>35</v>
      </c>
      <c r="D428" t="s">
        <v>23</v>
      </c>
      <c r="E428" t="s">
        <v>24</v>
      </c>
      <c r="F428" t="s">
        <v>25</v>
      </c>
      <c r="G428" t="s">
        <v>26</v>
      </c>
      <c r="H428">
        <v>2</v>
      </c>
      <c r="I428" s="5">
        <v>38351</v>
      </c>
      <c r="J428" s="5">
        <v>76702</v>
      </c>
      <c r="K428" s="5">
        <v>54781.14</v>
      </c>
      <c r="L428" s="5">
        <v>21920.86</v>
      </c>
      <c r="M428" s="6">
        <f t="shared" si="6"/>
        <v>0.28579254778232643</v>
      </c>
    </row>
    <row r="429" spans="1:13" x14ac:dyDescent="0.35">
      <c r="A429">
        <v>2427</v>
      </c>
      <c r="B429" s="4">
        <v>45477</v>
      </c>
      <c r="C429" t="s">
        <v>27</v>
      </c>
      <c r="D429" t="s">
        <v>19</v>
      </c>
      <c r="E429" t="s">
        <v>20</v>
      </c>
      <c r="F429" t="s">
        <v>16</v>
      </c>
      <c r="G429" t="s">
        <v>21</v>
      </c>
      <c r="H429">
        <v>5</v>
      </c>
      <c r="I429" s="5">
        <v>46922</v>
      </c>
      <c r="J429" s="5">
        <v>234610</v>
      </c>
      <c r="K429" s="5">
        <v>161544.20000000001</v>
      </c>
      <c r="L429" s="5">
        <v>73065.8</v>
      </c>
      <c r="M429" s="6">
        <f t="shared" si="6"/>
        <v>0.31143514769191427</v>
      </c>
    </row>
    <row r="430" spans="1:13" x14ac:dyDescent="0.35">
      <c r="A430">
        <v>2428</v>
      </c>
      <c r="B430" s="4">
        <v>45439</v>
      </c>
      <c r="C430" t="s">
        <v>27</v>
      </c>
      <c r="D430" t="s">
        <v>14</v>
      </c>
      <c r="E430" t="s">
        <v>40</v>
      </c>
      <c r="F430" t="s">
        <v>25</v>
      </c>
      <c r="G430" t="s">
        <v>31</v>
      </c>
      <c r="H430">
        <v>2</v>
      </c>
      <c r="I430" s="5">
        <v>60294</v>
      </c>
      <c r="J430" s="5">
        <v>120588</v>
      </c>
      <c r="K430" s="5">
        <v>85192.14</v>
      </c>
      <c r="L430" s="5">
        <v>35395.86</v>
      </c>
      <c r="M430" s="6">
        <f t="shared" si="6"/>
        <v>0.29352721663847148</v>
      </c>
    </row>
    <row r="431" spans="1:13" x14ac:dyDescent="0.35">
      <c r="A431">
        <v>2429</v>
      </c>
      <c r="B431" s="4">
        <v>45613</v>
      </c>
      <c r="C431" t="s">
        <v>37</v>
      </c>
      <c r="D431" t="s">
        <v>23</v>
      </c>
      <c r="E431" t="s">
        <v>24</v>
      </c>
      <c r="F431" t="s">
        <v>25</v>
      </c>
      <c r="G431" t="s">
        <v>17</v>
      </c>
      <c r="H431">
        <v>2</v>
      </c>
      <c r="I431" s="5">
        <v>44244</v>
      </c>
      <c r="J431" s="5">
        <v>88488</v>
      </c>
      <c r="K431" s="5">
        <v>60638.94</v>
      </c>
      <c r="L431" s="5">
        <v>27849.06</v>
      </c>
      <c r="M431" s="6">
        <f t="shared" si="6"/>
        <v>0.31472131814483323</v>
      </c>
    </row>
    <row r="432" spans="1:13" x14ac:dyDescent="0.35">
      <c r="A432">
        <v>2430</v>
      </c>
      <c r="B432" s="4">
        <v>45645</v>
      </c>
      <c r="C432" t="s">
        <v>35</v>
      </c>
      <c r="D432" t="s">
        <v>14</v>
      </c>
      <c r="E432" t="s">
        <v>15</v>
      </c>
      <c r="F432" t="s">
        <v>16</v>
      </c>
      <c r="G432" t="s">
        <v>39</v>
      </c>
      <c r="H432">
        <v>3</v>
      </c>
      <c r="I432" s="5">
        <v>62076</v>
      </c>
      <c r="J432" s="5">
        <v>186228</v>
      </c>
      <c r="K432" s="5">
        <v>121989.16</v>
      </c>
      <c r="L432" s="5">
        <v>64238.84</v>
      </c>
      <c r="M432" s="6">
        <f t="shared" si="6"/>
        <v>0.34494726893914984</v>
      </c>
    </row>
    <row r="433" spans="1:13" x14ac:dyDescent="0.35">
      <c r="A433">
        <v>2431</v>
      </c>
      <c r="B433" s="4">
        <v>45472</v>
      </c>
      <c r="C433" t="s">
        <v>13</v>
      </c>
      <c r="D433" t="s">
        <v>23</v>
      </c>
      <c r="E433" t="s">
        <v>38</v>
      </c>
      <c r="F433" t="s">
        <v>25</v>
      </c>
      <c r="G433" t="s">
        <v>17</v>
      </c>
      <c r="H433">
        <v>1</v>
      </c>
      <c r="I433" s="5">
        <v>31810</v>
      </c>
      <c r="J433" s="5">
        <v>31810</v>
      </c>
      <c r="K433" s="5">
        <v>22530.87</v>
      </c>
      <c r="L433" s="5">
        <v>9279.1299999999992</v>
      </c>
      <c r="M433" s="6">
        <f t="shared" si="6"/>
        <v>0.29170480980823638</v>
      </c>
    </row>
    <row r="434" spans="1:13" x14ac:dyDescent="0.35">
      <c r="A434">
        <v>2432</v>
      </c>
      <c r="B434" s="4">
        <v>45404</v>
      </c>
      <c r="C434" t="s">
        <v>32</v>
      </c>
      <c r="D434" t="s">
        <v>14</v>
      </c>
      <c r="E434" t="s">
        <v>40</v>
      </c>
      <c r="F434" t="s">
        <v>25</v>
      </c>
      <c r="G434" t="s">
        <v>39</v>
      </c>
      <c r="H434">
        <v>1</v>
      </c>
      <c r="I434" s="5">
        <v>61039</v>
      </c>
      <c r="J434" s="5">
        <v>61039</v>
      </c>
      <c r="K434" s="5">
        <v>40163.64</v>
      </c>
      <c r="L434" s="5">
        <v>20875.36</v>
      </c>
      <c r="M434" s="6">
        <f t="shared" si="6"/>
        <v>0.34200036042530185</v>
      </c>
    </row>
    <row r="435" spans="1:13" x14ac:dyDescent="0.35">
      <c r="A435">
        <v>2433</v>
      </c>
      <c r="B435" s="4">
        <v>45447</v>
      </c>
      <c r="C435" t="s">
        <v>22</v>
      </c>
      <c r="D435" t="s">
        <v>33</v>
      </c>
      <c r="E435" t="s">
        <v>34</v>
      </c>
      <c r="F435" t="s">
        <v>25</v>
      </c>
      <c r="G435" t="s">
        <v>31</v>
      </c>
      <c r="H435">
        <v>2</v>
      </c>
      <c r="I435" s="5">
        <v>57904</v>
      </c>
      <c r="J435" s="5">
        <v>115808</v>
      </c>
      <c r="K435" s="5">
        <v>92375.95</v>
      </c>
      <c r="L435" s="5">
        <v>23432.05</v>
      </c>
      <c r="M435" s="6">
        <f t="shared" si="6"/>
        <v>0.20233533089251174</v>
      </c>
    </row>
    <row r="436" spans="1:13" x14ac:dyDescent="0.35">
      <c r="A436">
        <v>2434</v>
      </c>
      <c r="B436" s="4">
        <v>45618</v>
      </c>
      <c r="C436" t="s">
        <v>18</v>
      </c>
      <c r="D436" t="s">
        <v>42</v>
      </c>
      <c r="E436" t="s">
        <v>43</v>
      </c>
      <c r="F436" t="s">
        <v>25</v>
      </c>
      <c r="G436" t="s">
        <v>39</v>
      </c>
      <c r="H436">
        <v>2</v>
      </c>
      <c r="I436" s="5">
        <v>37839</v>
      </c>
      <c r="J436" s="5">
        <v>75678</v>
      </c>
      <c r="K436" s="5">
        <v>57820.49</v>
      </c>
      <c r="L436" s="5">
        <v>17857.509999999998</v>
      </c>
      <c r="M436" s="6">
        <f t="shared" si="6"/>
        <v>0.2359669917281112</v>
      </c>
    </row>
    <row r="437" spans="1:13" x14ac:dyDescent="0.35">
      <c r="A437">
        <v>2435</v>
      </c>
      <c r="B437" s="4">
        <v>45635</v>
      </c>
      <c r="C437" t="s">
        <v>18</v>
      </c>
      <c r="D437" t="s">
        <v>42</v>
      </c>
      <c r="E437" t="s">
        <v>43</v>
      </c>
      <c r="F437" t="s">
        <v>25</v>
      </c>
      <c r="G437" t="s">
        <v>17</v>
      </c>
      <c r="H437">
        <v>5</v>
      </c>
      <c r="I437" s="5">
        <v>53749</v>
      </c>
      <c r="J437" s="5">
        <v>268745</v>
      </c>
      <c r="K437" s="5">
        <v>224975.83</v>
      </c>
      <c r="L437" s="5">
        <v>43769.17</v>
      </c>
      <c r="M437" s="6">
        <f t="shared" si="6"/>
        <v>0.1628650579545666</v>
      </c>
    </row>
    <row r="438" spans="1:13" x14ac:dyDescent="0.35">
      <c r="A438">
        <v>2436</v>
      </c>
      <c r="B438" s="4">
        <v>45438</v>
      </c>
      <c r="C438" t="s">
        <v>37</v>
      </c>
      <c r="D438" t="s">
        <v>19</v>
      </c>
      <c r="E438" t="s">
        <v>20</v>
      </c>
      <c r="F438" t="s">
        <v>16</v>
      </c>
      <c r="G438" t="s">
        <v>39</v>
      </c>
      <c r="H438">
        <v>1</v>
      </c>
      <c r="I438" s="5">
        <v>14205</v>
      </c>
      <c r="J438" s="5">
        <v>14205</v>
      </c>
      <c r="K438" s="5">
        <v>12000.75</v>
      </c>
      <c r="L438" s="5">
        <v>2204.25</v>
      </c>
      <c r="M438" s="6">
        <f t="shared" si="6"/>
        <v>0.1551742344244984</v>
      </c>
    </row>
    <row r="439" spans="1:13" x14ac:dyDescent="0.35">
      <c r="A439">
        <v>2437</v>
      </c>
      <c r="B439" s="4">
        <v>45399</v>
      </c>
      <c r="C439" t="s">
        <v>27</v>
      </c>
      <c r="D439" t="s">
        <v>19</v>
      </c>
      <c r="E439" t="s">
        <v>20</v>
      </c>
      <c r="F439" t="s">
        <v>16</v>
      </c>
      <c r="G439" t="s">
        <v>36</v>
      </c>
      <c r="H439">
        <v>3</v>
      </c>
      <c r="I439" s="5">
        <v>19290</v>
      </c>
      <c r="J439" s="5">
        <v>57870</v>
      </c>
      <c r="K439" s="5">
        <v>42444.59</v>
      </c>
      <c r="L439" s="5">
        <v>15425.41</v>
      </c>
      <c r="M439" s="6">
        <f t="shared" si="6"/>
        <v>0.2665527907378607</v>
      </c>
    </row>
    <row r="440" spans="1:13" x14ac:dyDescent="0.35">
      <c r="A440">
        <v>2438</v>
      </c>
      <c r="B440" s="4">
        <v>45405</v>
      </c>
      <c r="C440" t="s">
        <v>35</v>
      </c>
      <c r="D440" t="s">
        <v>23</v>
      </c>
      <c r="E440" t="s">
        <v>24</v>
      </c>
      <c r="F440" t="s">
        <v>25</v>
      </c>
      <c r="G440" t="s">
        <v>21</v>
      </c>
      <c r="H440">
        <v>3</v>
      </c>
      <c r="I440" s="5">
        <v>77117</v>
      </c>
      <c r="J440" s="5">
        <v>231351</v>
      </c>
      <c r="K440" s="5">
        <v>154539.39000000001</v>
      </c>
      <c r="L440" s="5">
        <v>76811.61</v>
      </c>
      <c r="M440" s="6">
        <f t="shared" si="6"/>
        <v>0.3320133044594577</v>
      </c>
    </row>
    <row r="441" spans="1:13" x14ac:dyDescent="0.35">
      <c r="A441">
        <v>2439</v>
      </c>
      <c r="B441" s="4">
        <v>45646</v>
      </c>
      <c r="C441" t="s">
        <v>22</v>
      </c>
      <c r="D441" t="s">
        <v>23</v>
      </c>
      <c r="E441" t="s">
        <v>24</v>
      </c>
      <c r="F441" t="s">
        <v>25</v>
      </c>
      <c r="G441" t="s">
        <v>36</v>
      </c>
      <c r="H441">
        <v>5</v>
      </c>
      <c r="I441" s="5">
        <v>67346</v>
      </c>
      <c r="J441" s="5">
        <v>336730</v>
      </c>
      <c r="K441" s="5">
        <v>253130.6</v>
      </c>
      <c r="L441" s="5">
        <v>83599.399999999994</v>
      </c>
      <c r="M441" s="6">
        <f t="shared" si="6"/>
        <v>0.24826834555875626</v>
      </c>
    </row>
    <row r="442" spans="1:13" x14ac:dyDescent="0.35">
      <c r="A442">
        <v>2440</v>
      </c>
      <c r="B442" s="4">
        <v>45554</v>
      </c>
      <c r="C442" t="s">
        <v>22</v>
      </c>
      <c r="D442" t="s">
        <v>33</v>
      </c>
      <c r="E442" t="s">
        <v>41</v>
      </c>
      <c r="F442" t="s">
        <v>16</v>
      </c>
      <c r="G442" t="s">
        <v>39</v>
      </c>
      <c r="H442">
        <v>2</v>
      </c>
      <c r="I442" s="5">
        <v>72161</v>
      </c>
      <c r="J442" s="5">
        <v>144322</v>
      </c>
      <c r="K442" s="5">
        <v>115801.73</v>
      </c>
      <c r="L442" s="5">
        <v>28520.27</v>
      </c>
      <c r="M442" s="6">
        <f t="shared" si="6"/>
        <v>0.1976155402502737</v>
      </c>
    </row>
    <row r="443" spans="1:13" x14ac:dyDescent="0.35">
      <c r="A443">
        <v>2441</v>
      </c>
      <c r="B443" s="4">
        <v>45425</v>
      </c>
      <c r="C443" t="s">
        <v>35</v>
      </c>
      <c r="D443" t="s">
        <v>19</v>
      </c>
      <c r="E443" t="s">
        <v>44</v>
      </c>
      <c r="F443" t="s">
        <v>25</v>
      </c>
      <c r="G443" t="s">
        <v>21</v>
      </c>
      <c r="H443">
        <v>2</v>
      </c>
      <c r="I443" s="5">
        <v>79618</v>
      </c>
      <c r="J443" s="5">
        <v>159236</v>
      </c>
      <c r="K443" s="5">
        <v>108716.67</v>
      </c>
      <c r="L443" s="5">
        <v>50519.33</v>
      </c>
      <c r="M443" s="6">
        <f t="shared" si="6"/>
        <v>0.31726073249767639</v>
      </c>
    </row>
    <row r="444" spans="1:13" x14ac:dyDescent="0.35">
      <c r="A444">
        <v>2442</v>
      </c>
      <c r="B444" s="4">
        <v>45419</v>
      </c>
      <c r="C444" t="s">
        <v>32</v>
      </c>
      <c r="D444" t="s">
        <v>33</v>
      </c>
      <c r="E444" t="s">
        <v>41</v>
      </c>
      <c r="F444" t="s">
        <v>16</v>
      </c>
      <c r="G444" t="s">
        <v>36</v>
      </c>
      <c r="H444">
        <v>1</v>
      </c>
      <c r="I444" s="5">
        <v>30026</v>
      </c>
      <c r="J444" s="5">
        <v>30026</v>
      </c>
      <c r="K444" s="5">
        <v>21665.72</v>
      </c>
      <c r="L444" s="5">
        <v>8360.2800000000007</v>
      </c>
      <c r="M444" s="6">
        <f t="shared" si="6"/>
        <v>0.27843468993538933</v>
      </c>
    </row>
    <row r="445" spans="1:13" x14ac:dyDescent="0.35">
      <c r="A445">
        <v>2443</v>
      </c>
      <c r="B445" s="4">
        <v>45617</v>
      </c>
      <c r="C445" t="s">
        <v>27</v>
      </c>
      <c r="D445" t="s">
        <v>23</v>
      </c>
      <c r="E445" t="s">
        <v>24</v>
      </c>
      <c r="F445" t="s">
        <v>25</v>
      </c>
      <c r="G445" t="s">
        <v>31</v>
      </c>
      <c r="H445">
        <v>3</v>
      </c>
      <c r="I445" s="5">
        <v>25981</v>
      </c>
      <c r="J445" s="5">
        <v>77943</v>
      </c>
      <c r="K445" s="5">
        <v>52791.62</v>
      </c>
      <c r="L445" s="5">
        <v>25151.38</v>
      </c>
      <c r="M445" s="6">
        <f t="shared" si="6"/>
        <v>0.32268940122910333</v>
      </c>
    </row>
    <row r="446" spans="1:13" x14ac:dyDescent="0.35">
      <c r="A446">
        <v>2444</v>
      </c>
      <c r="B446" s="4">
        <v>45413</v>
      </c>
      <c r="C446" t="s">
        <v>35</v>
      </c>
      <c r="D446" t="s">
        <v>23</v>
      </c>
      <c r="E446" t="s">
        <v>38</v>
      </c>
      <c r="F446" t="s">
        <v>25</v>
      </c>
      <c r="G446" t="s">
        <v>17</v>
      </c>
      <c r="H446">
        <v>2</v>
      </c>
      <c r="I446" s="5">
        <v>8770</v>
      </c>
      <c r="J446" s="5">
        <v>17540</v>
      </c>
      <c r="K446" s="5">
        <v>13208.96</v>
      </c>
      <c r="L446" s="5">
        <v>4331.04</v>
      </c>
      <c r="M446" s="6">
        <f t="shared" si="6"/>
        <v>0.2469236031927024</v>
      </c>
    </row>
    <row r="447" spans="1:13" x14ac:dyDescent="0.35">
      <c r="A447">
        <v>2445</v>
      </c>
      <c r="B447" s="4">
        <v>45471</v>
      </c>
      <c r="C447" t="s">
        <v>13</v>
      </c>
      <c r="D447" t="s">
        <v>23</v>
      </c>
      <c r="E447" t="s">
        <v>38</v>
      </c>
      <c r="F447" t="s">
        <v>25</v>
      </c>
      <c r="G447" t="s">
        <v>39</v>
      </c>
      <c r="H447">
        <v>3</v>
      </c>
      <c r="I447" s="5">
        <v>25484</v>
      </c>
      <c r="J447" s="5">
        <v>76452</v>
      </c>
      <c r="K447" s="5">
        <v>63220.99</v>
      </c>
      <c r="L447" s="5">
        <v>13231.01</v>
      </c>
      <c r="M447" s="6">
        <f t="shared" si="6"/>
        <v>0.1730629676136661</v>
      </c>
    </row>
    <row r="448" spans="1:13" x14ac:dyDescent="0.35">
      <c r="A448">
        <v>2446</v>
      </c>
      <c r="B448" s="4">
        <v>45415</v>
      </c>
      <c r="C448" t="s">
        <v>32</v>
      </c>
      <c r="D448" t="s">
        <v>33</v>
      </c>
      <c r="E448" t="s">
        <v>34</v>
      </c>
      <c r="F448" t="s">
        <v>25</v>
      </c>
      <c r="G448" t="s">
        <v>21</v>
      </c>
      <c r="H448">
        <v>3</v>
      </c>
      <c r="I448" s="5">
        <v>23462</v>
      </c>
      <c r="J448" s="5">
        <v>70386</v>
      </c>
      <c r="K448" s="5">
        <v>53468.87</v>
      </c>
      <c r="L448" s="5">
        <v>16917.13</v>
      </c>
      <c r="M448" s="6">
        <f t="shared" si="6"/>
        <v>0.24034793851049926</v>
      </c>
    </row>
    <row r="449" spans="1:13" x14ac:dyDescent="0.35">
      <c r="A449">
        <v>2447</v>
      </c>
      <c r="B449" s="4">
        <v>45371</v>
      </c>
      <c r="C449" t="s">
        <v>35</v>
      </c>
      <c r="D449" t="s">
        <v>33</v>
      </c>
      <c r="E449" t="s">
        <v>34</v>
      </c>
      <c r="F449" t="s">
        <v>25</v>
      </c>
      <c r="G449" t="s">
        <v>39</v>
      </c>
      <c r="H449">
        <v>5</v>
      </c>
      <c r="I449" s="5">
        <v>68447</v>
      </c>
      <c r="J449" s="5">
        <v>342235</v>
      </c>
      <c r="K449" s="5">
        <v>279913.03999999998</v>
      </c>
      <c r="L449" s="5">
        <v>62321.96</v>
      </c>
      <c r="M449" s="6">
        <f t="shared" si="6"/>
        <v>0.18210282408286704</v>
      </c>
    </row>
    <row r="450" spans="1:13" x14ac:dyDescent="0.35">
      <c r="A450">
        <v>2448</v>
      </c>
      <c r="B450" s="4">
        <v>45350</v>
      </c>
      <c r="C450" t="s">
        <v>37</v>
      </c>
      <c r="D450" t="s">
        <v>23</v>
      </c>
      <c r="E450" t="s">
        <v>24</v>
      </c>
      <c r="F450" t="s">
        <v>25</v>
      </c>
      <c r="G450" t="s">
        <v>31</v>
      </c>
      <c r="H450">
        <v>3</v>
      </c>
      <c r="I450" s="5">
        <v>9621</v>
      </c>
      <c r="J450" s="5">
        <v>28863</v>
      </c>
      <c r="K450" s="5">
        <v>20841.86</v>
      </c>
      <c r="L450" s="5">
        <v>8021.14</v>
      </c>
      <c r="M450" s="6">
        <f t="shared" si="6"/>
        <v>0.27790389079444272</v>
      </c>
    </row>
    <row r="451" spans="1:13" x14ac:dyDescent="0.35">
      <c r="A451">
        <v>2449</v>
      </c>
      <c r="B451" s="4">
        <v>45435</v>
      </c>
      <c r="C451" t="s">
        <v>27</v>
      </c>
      <c r="D451" t="s">
        <v>33</v>
      </c>
      <c r="E451" t="s">
        <v>41</v>
      </c>
      <c r="F451" t="s">
        <v>16</v>
      </c>
      <c r="G451" t="s">
        <v>26</v>
      </c>
      <c r="H451">
        <v>3</v>
      </c>
      <c r="I451" s="5">
        <v>33836</v>
      </c>
      <c r="J451" s="5">
        <v>101508</v>
      </c>
      <c r="K451" s="5">
        <v>68225.460000000006</v>
      </c>
      <c r="L451" s="5">
        <v>33282.54</v>
      </c>
      <c r="M451" s="6">
        <f t="shared" ref="M451:M501" si="7">L451/J451</f>
        <v>0.32788095519564964</v>
      </c>
    </row>
    <row r="452" spans="1:13" x14ac:dyDescent="0.35">
      <c r="A452">
        <v>2450</v>
      </c>
      <c r="B452" s="4">
        <v>45374</v>
      </c>
      <c r="C452" t="s">
        <v>22</v>
      </c>
      <c r="D452" t="s">
        <v>14</v>
      </c>
      <c r="E452" t="s">
        <v>40</v>
      </c>
      <c r="F452" t="s">
        <v>25</v>
      </c>
      <c r="G452" t="s">
        <v>26</v>
      </c>
      <c r="H452">
        <v>3</v>
      </c>
      <c r="I452" s="5">
        <v>66336</v>
      </c>
      <c r="J452" s="5">
        <v>199008</v>
      </c>
      <c r="K452" s="5">
        <v>148008.6</v>
      </c>
      <c r="L452" s="5">
        <v>50999.4</v>
      </c>
      <c r="M452" s="6">
        <f t="shared" si="7"/>
        <v>0.25626808972503617</v>
      </c>
    </row>
    <row r="453" spans="1:13" x14ac:dyDescent="0.35">
      <c r="A453">
        <v>2451</v>
      </c>
      <c r="B453" s="4">
        <v>45577</v>
      </c>
      <c r="C453" t="s">
        <v>18</v>
      </c>
      <c r="D453" t="s">
        <v>14</v>
      </c>
      <c r="E453" t="s">
        <v>15</v>
      </c>
      <c r="F453" t="s">
        <v>16</v>
      </c>
      <c r="G453" t="s">
        <v>31</v>
      </c>
      <c r="H453">
        <v>1</v>
      </c>
      <c r="I453" s="5">
        <v>13974</v>
      </c>
      <c r="J453" s="5">
        <v>13974</v>
      </c>
      <c r="K453" s="5">
        <v>9113.32</v>
      </c>
      <c r="L453" s="5">
        <v>4860.68</v>
      </c>
      <c r="M453" s="6">
        <f t="shared" si="7"/>
        <v>0.34783741233719767</v>
      </c>
    </row>
    <row r="454" spans="1:13" x14ac:dyDescent="0.35">
      <c r="A454">
        <v>2452</v>
      </c>
      <c r="B454" s="4">
        <v>45461</v>
      </c>
      <c r="C454" t="s">
        <v>27</v>
      </c>
      <c r="D454" t="s">
        <v>23</v>
      </c>
      <c r="E454" t="s">
        <v>38</v>
      </c>
      <c r="F454" t="s">
        <v>25</v>
      </c>
      <c r="G454" t="s">
        <v>39</v>
      </c>
      <c r="H454">
        <v>5</v>
      </c>
      <c r="I454" s="5">
        <v>42659</v>
      </c>
      <c r="J454" s="5">
        <v>213295</v>
      </c>
      <c r="K454" s="5">
        <v>143283.16</v>
      </c>
      <c r="L454" s="5">
        <v>70011.839999999997</v>
      </c>
      <c r="M454" s="6">
        <f t="shared" si="7"/>
        <v>0.32823948053165802</v>
      </c>
    </row>
    <row r="455" spans="1:13" x14ac:dyDescent="0.35">
      <c r="A455">
        <v>2453</v>
      </c>
      <c r="B455" s="4">
        <v>45389</v>
      </c>
      <c r="C455" t="s">
        <v>22</v>
      </c>
      <c r="D455" t="s">
        <v>23</v>
      </c>
      <c r="E455" t="s">
        <v>38</v>
      </c>
      <c r="F455" t="s">
        <v>25</v>
      </c>
      <c r="G455" t="s">
        <v>17</v>
      </c>
      <c r="H455">
        <v>5</v>
      </c>
      <c r="I455" s="5">
        <v>50180</v>
      </c>
      <c r="J455" s="5">
        <v>250900</v>
      </c>
      <c r="K455" s="5">
        <v>163501.6</v>
      </c>
      <c r="L455" s="5">
        <v>87398.399999999994</v>
      </c>
      <c r="M455" s="6">
        <f t="shared" si="7"/>
        <v>0.34833957752092465</v>
      </c>
    </row>
    <row r="456" spans="1:13" x14ac:dyDescent="0.35">
      <c r="A456">
        <v>2454</v>
      </c>
      <c r="B456" s="4">
        <v>45613</v>
      </c>
      <c r="C456" t="s">
        <v>35</v>
      </c>
      <c r="D456" t="s">
        <v>19</v>
      </c>
      <c r="E456" t="s">
        <v>20</v>
      </c>
      <c r="F456" t="s">
        <v>16</v>
      </c>
      <c r="G456" t="s">
        <v>36</v>
      </c>
      <c r="H456">
        <v>5</v>
      </c>
      <c r="I456" s="5">
        <v>40953</v>
      </c>
      <c r="J456" s="5">
        <v>204765</v>
      </c>
      <c r="K456" s="5">
        <v>159842.54999999999</v>
      </c>
      <c r="L456" s="5">
        <v>44922.45</v>
      </c>
      <c r="M456" s="6">
        <f t="shared" si="7"/>
        <v>0.21938539301150098</v>
      </c>
    </row>
    <row r="457" spans="1:13" x14ac:dyDescent="0.35">
      <c r="A457">
        <v>2455</v>
      </c>
      <c r="B457" s="4">
        <v>45306</v>
      </c>
      <c r="C457" t="s">
        <v>13</v>
      </c>
      <c r="D457" t="s">
        <v>19</v>
      </c>
      <c r="E457" t="s">
        <v>20</v>
      </c>
      <c r="F457" t="s">
        <v>16</v>
      </c>
      <c r="G457" t="s">
        <v>39</v>
      </c>
      <c r="H457">
        <v>1</v>
      </c>
      <c r="I457" s="5">
        <v>59809</v>
      </c>
      <c r="J457" s="5">
        <v>59809</v>
      </c>
      <c r="K457" s="5">
        <v>48918.720000000001</v>
      </c>
      <c r="L457" s="5">
        <v>10890.28</v>
      </c>
      <c r="M457" s="6">
        <f t="shared" si="7"/>
        <v>0.18208430169372503</v>
      </c>
    </row>
    <row r="458" spans="1:13" x14ac:dyDescent="0.35">
      <c r="A458">
        <v>2456</v>
      </c>
      <c r="B458" s="4">
        <v>45618</v>
      </c>
      <c r="C458" t="s">
        <v>18</v>
      </c>
      <c r="D458" t="s">
        <v>14</v>
      </c>
      <c r="E458" t="s">
        <v>40</v>
      </c>
      <c r="F458" t="s">
        <v>25</v>
      </c>
      <c r="G458" t="s">
        <v>31</v>
      </c>
      <c r="H458">
        <v>5</v>
      </c>
      <c r="I458" s="5">
        <v>30080</v>
      </c>
      <c r="J458" s="5">
        <v>150400</v>
      </c>
      <c r="K458" s="5">
        <v>100833.49</v>
      </c>
      <c r="L458" s="5">
        <v>49566.51</v>
      </c>
      <c r="M458" s="6">
        <f t="shared" si="7"/>
        <v>0.32956456117021277</v>
      </c>
    </row>
    <row r="459" spans="1:13" x14ac:dyDescent="0.35">
      <c r="A459">
        <v>2457</v>
      </c>
      <c r="B459" s="4">
        <v>45459</v>
      </c>
      <c r="C459" t="s">
        <v>35</v>
      </c>
      <c r="D459" t="s">
        <v>14</v>
      </c>
      <c r="E459" t="s">
        <v>40</v>
      </c>
      <c r="F459" t="s">
        <v>25</v>
      </c>
      <c r="G459" t="s">
        <v>21</v>
      </c>
      <c r="H459">
        <v>4</v>
      </c>
      <c r="I459" s="5">
        <v>32188</v>
      </c>
      <c r="J459" s="5">
        <v>128752</v>
      </c>
      <c r="K459" s="5">
        <v>100357.16</v>
      </c>
      <c r="L459" s="5">
        <v>28394.84</v>
      </c>
      <c r="M459" s="6">
        <f t="shared" si="7"/>
        <v>0.22053902075307569</v>
      </c>
    </row>
    <row r="460" spans="1:13" x14ac:dyDescent="0.35">
      <c r="A460">
        <v>2458</v>
      </c>
      <c r="B460" s="4">
        <v>45480</v>
      </c>
      <c r="C460" t="s">
        <v>18</v>
      </c>
      <c r="D460" t="s">
        <v>14</v>
      </c>
      <c r="E460" t="s">
        <v>15</v>
      </c>
      <c r="F460" t="s">
        <v>16</v>
      </c>
      <c r="G460" t="s">
        <v>31</v>
      </c>
      <c r="H460">
        <v>2</v>
      </c>
      <c r="I460" s="5">
        <v>56401</v>
      </c>
      <c r="J460" s="5">
        <v>112802</v>
      </c>
      <c r="K460" s="5">
        <v>92222.87</v>
      </c>
      <c r="L460" s="5">
        <v>20579.13</v>
      </c>
      <c r="M460" s="6">
        <f t="shared" si="7"/>
        <v>0.18243586106629317</v>
      </c>
    </row>
    <row r="461" spans="1:13" x14ac:dyDescent="0.35">
      <c r="A461">
        <v>2459</v>
      </c>
      <c r="B461" s="4">
        <v>45313</v>
      </c>
      <c r="C461" t="s">
        <v>13</v>
      </c>
      <c r="D461" t="s">
        <v>14</v>
      </c>
      <c r="E461" t="s">
        <v>40</v>
      </c>
      <c r="F461" t="s">
        <v>25</v>
      </c>
      <c r="G461" t="s">
        <v>26</v>
      </c>
      <c r="H461">
        <v>1</v>
      </c>
      <c r="I461" s="5">
        <v>60851</v>
      </c>
      <c r="J461" s="5">
        <v>60851</v>
      </c>
      <c r="K461" s="5">
        <v>50569.56</v>
      </c>
      <c r="L461" s="5">
        <v>10281.44</v>
      </c>
      <c r="M461" s="6">
        <f t="shared" si="7"/>
        <v>0.16896090450444529</v>
      </c>
    </row>
    <row r="462" spans="1:13" x14ac:dyDescent="0.35">
      <c r="A462">
        <v>2460</v>
      </c>
      <c r="B462" s="4">
        <v>45547</v>
      </c>
      <c r="C462" t="s">
        <v>22</v>
      </c>
      <c r="D462" t="s">
        <v>33</v>
      </c>
      <c r="E462" t="s">
        <v>41</v>
      </c>
      <c r="F462" t="s">
        <v>16</v>
      </c>
      <c r="G462" t="s">
        <v>17</v>
      </c>
      <c r="H462">
        <v>2</v>
      </c>
      <c r="I462" s="5">
        <v>47265</v>
      </c>
      <c r="J462" s="5">
        <v>94530</v>
      </c>
      <c r="K462" s="5">
        <v>72837.73</v>
      </c>
      <c r="L462" s="5">
        <v>21692.27</v>
      </c>
      <c r="M462" s="6">
        <f t="shared" si="7"/>
        <v>0.22947498148735851</v>
      </c>
    </row>
    <row r="463" spans="1:13" x14ac:dyDescent="0.35">
      <c r="A463">
        <v>2461</v>
      </c>
      <c r="B463" s="4">
        <v>45408</v>
      </c>
      <c r="C463" t="s">
        <v>13</v>
      </c>
      <c r="D463" t="s">
        <v>19</v>
      </c>
      <c r="E463" t="s">
        <v>20</v>
      </c>
      <c r="F463" t="s">
        <v>16</v>
      </c>
      <c r="G463" t="s">
        <v>39</v>
      </c>
      <c r="H463">
        <v>2</v>
      </c>
      <c r="I463" s="5">
        <v>26127</v>
      </c>
      <c r="J463" s="5">
        <v>52254</v>
      </c>
      <c r="K463" s="5">
        <v>38596.769999999997</v>
      </c>
      <c r="L463" s="5">
        <v>13657.23</v>
      </c>
      <c r="M463" s="6">
        <f t="shared" si="7"/>
        <v>0.2613623837409576</v>
      </c>
    </row>
    <row r="464" spans="1:13" x14ac:dyDescent="0.35">
      <c r="A464">
        <v>2462</v>
      </c>
      <c r="B464" s="4">
        <v>45517</v>
      </c>
      <c r="C464" t="s">
        <v>27</v>
      </c>
      <c r="D464" t="s">
        <v>23</v>
      </c>
      <c r="E464" t="s">
        <v>24</v>
      </c>
      <c r="F464" t="s">
        <v>25</v>
      </c>
      <c r="G464" t="s">
        <v>26</v>
      </c>
      <c r="H464">
        <v>4</v>
      </c>
      <c r="I464" s="5">
        <v>33010</v>
      </c>
      <c r="J464" s="5">
        <v>132040</v>
      </c>
      <c r="K464" s="5">
        <v>91590.21</v>
      </c>
      <c r="L464" s="5">
        <v>40449.79</v>
      </c>
      <c r="M464" s="6">
        <f t="shared" si="7"/>
        <v>0.3063449712208422</v>
      </c>
    </row>
    <row r="465" spans="1:13" x14ac:dyDescent="0.35">
      <c r="A465">
        <v>2463</v>
      </c>
      <c r="B465" s="4">
        <v>45604</v>
      </c>
      <c r="C465" t="s">
        <v>27</v>
      </c>
      <c r="D465" t="s">
        <v>14</v>
      </c>
      <c r="E465" t="s">
        <v>15</v>
      </c>
      <c r="F465" t="s">
        <v>16</v>
      </c>
      <c r="G465" t="s">
        <v>26</v>
      </c>
      <c r="H465">
        <v>5</v>
      </c>
      <c r="I465" s="5">
        <v>63763</v>
      </c>
      <c r="J465" s="5">
        <v>318815</v>
      </c>
      <c r="K465" s="5">
        <v>216358.2</v>
      </c>
      <c r="L465" s="5">
        <v>102456.8</v>
      </c>
      <c r="M465" s="6">
        <f t="shared" si="7"/>
        <v>0.3213675642614055</v>
      </c>
    </row>
    <row r="466" spans="1:13" x14ac:dyDescent="0.35">
      <c r="A466">
        <v>2464</v>
      </c>
      <c r="B466" s="4">
        <v>45555</v>
      </c>
      <c r="C466" t="s">
        <v>35</v>
      </c>
      <c r="D466" t="s">
        <v>19</v>
      </c>
      <c r="E466" t="s">
        <v>20</v>
      </c>
      <c r="F466" t="s">
        <v>16</v>
      </c>
      <c r="G466" t="s">
        <v>26</v>
      </c>
      <c r="H466">
        <v>4</v>
      </c>
      <c r="I466" s="5">
        <v>52389</v>
      </c>
      <c r="J466" s="5">
        <v>209556</v>
      </c>
      <c r="K466" s="5">
        <v>138839.98000000001</v>
      </c>
      <c r="L466" s="5">
        <v>70716.02</v>
      </c>
      <c r="M466" s="6">
        <f t="shared" si="7"/>
        <v>0.33745643169367617</v>
      </c>
    </row>
    <row r="467" spans="1:13" x14ac:dyDescent="0.35">
      <c r="A467">
        <v>2465</v>
      </c>
      <c r="B467" s="4">
        <v>45376</v>
      </c>
      <c r="C467" t="s">
        <v>35</v>
      </c>
      <c r="D467" t="s">
        <v>19</v>
      </c>
      <c r="E467" t="s">
        <v>44</v>
      </c>
      <c r="F467" t="s">
        <v>25</v>
      </c>
      <c r="G467" t="s">
        <v>31</v>
      </c>
      <c r="H467">
        <v>4</v>
      </c>
      <c r="I467" s="5">
        <v>46763</v>
      </c>
      <c r="J467" s="5">
        <v>187052</v>
      </c>
      <c r="K467" s="5">
        <v>121740.68</v>
      </c>
      <c r="L467" s="5">
        <v>65311.32</v>
      </c>
      <c r="M467" s="6">
        <f t="shared" si="7"/>
        <v>0.3491613027393452</v>
      </c>
    </row>
    <row r="468" spans="1:13" x14ac:dyDescent="0.35">
      <c r="A468">
        <v>2466</v>
      </c>
      <c r="B468" s="4">
        <v>45582</v>
      </c>
      <c r="C468" t="s">
        <v>35</v>
      </c>
      <c r="D468" t="s">
        <v>28</v>
      </c>
      <c r="E468" t="s">
        <v>29</v>
      </c>
      <c r="F468" t="s">
        <v>30</v>
      </c>
      <c r="G468" t="s">
        <v>36</v>
      </c>
      <c r="H468">
        <v>2</v>
      </c>
      <c r="I468" s="5">
        <v>69451</v>
      </c>
      <c r="J468" s="5">
        <v>138902</v>
      </c>
      <c r="K468" s="5">
        <v>92648.8</v>
      </c>
      <c r="L468" s="5">
        <v>46253.2</v>
      </c>
      <c r="M468" s="6">
        <f t="shared" si="7"/>
        <v>0.33299160559243207</v>
      </c>
    </row>
    <row r="469" spans="1:13" x14ac:dyDescent="0.35">
      <c r="A469">
        <v>2467</v>
      </c>
      <c r="B469" s="4">
        <v>45511</v>
      </c>
      <c r="C469" t="s">
        <v>32</v>
      </c>
      <c r="D469" t="s">
        <v>14</v>
      </c>
      <c r="E469" t="s">
        <v>15</v>
      </c>
      <c r="F469" t="s">
        <v>16</v>
      </c>
      <c r="G469" t="s">
        <v>17</v>
      </c>
      <c r="H469">
        <v>5</v>
      </c>
      <c r="I469" s="5">
        <v>28232</v>
      </c>
      <c r="J469" s="5">
        <v>141160</v>
      </c>
      <c r="K469" s="5">
        <v>119262.39</v>
      </c>
      <c r="L469" s="5">
        <v>21897.61</v>
      </c>
      <c r="M469" s="6">
        <f t="shared" si="7"/>
        <v>0.15512616888637007</v>
      </c>
    </row>
    <row r="470" spans="1:13" x14ac:dyDescent="0.35">
      <c r="A470">
        <v>2468</v>
      </c>
      <c r="B470" s="4">
        <v>45322</v>
      </c>
      <c r="C470" t="s">
        <v>32</v>
      </c>
      <c r="D470" t="s">
        <v>28</v>
      </c>
      <c r="E470" t="s">
        <v>29</v>
      </c>
      <c r="F470" t="s">
        <v>30</v>
      </c>
      <c r="G470" t="s">
        <v>26</v>
      </c>
      <c r="H470">
        <v>3</v>
      </c>
      <c r="I470" s="5">
        <v>46933</v>
      </c>
      <c r="J470" s="5">
        <v>140799</v>
      </c>
      <c r="K470" s="5">
        <v>107430.29</v>
      </c>
      <c r="L470" s="5">
        <v>33368.71</v>
      </c>
      <c r="M470" s="6">
        <f t="shared" si="7"/>
        <v>0.23699536218297004</v>
      </c>
    </row>
    <row r="471" spans="1:13" x14ac:dyDescent="0.35">
      <c r="A471">
        <v>2469</v>
      </c>
      <c r="B471" s="4">
        <v>45628</v>
      </c>
      <c r="C471" t="s">
        <v>18</v>
      </c>
      <c r="D471" t="s">
        <v>23</v>
      </c>
      <c r="E471" t="s">
        <v>24</v>
      </c>
      <c r="F471" t="s">
        <v>25</v>
      </c>
      <c r="G471" t="s">
        <v>17</v>
      </c>
      <c r="H471">
        <v>2</v>
      </c>
      <c r="I471" s="5">
        <v>47231</v>
      </c>
      <c r="J471" s="5">
        <v>94462</v>
      </c>
      <c r="K471" s="5">
        <v>77747.19</v>
      </c>
      <c r="L471" s="5">
        <v>16714.810000000001</v>
      </c>
      <c r="M471" s="6">
        <f t="shared" si="7"/>
        <v>0.17694744976816076</v>
      </c>
    </row>
    <row r="472" spans="1:13" x14ac:dyDescent="0.35">
      <c r="A472">
        <v>2470</v>
      </c>
      <c r="B472" s="4">
        <v>45388</v>
      </c>
      <c r="C472" t="s">
        <v>35</v>
      </c>
      <c r="D472" t="s">
        <v>42</v>
      </c>
      <c r="E472" t="s">
        <v>43</v>
      </c>
      <c r="F472" t="s">
        <v>25</v>
      </c>
      <c r="G472" t="s">
        <v>26</v>
      </c>
      <c r="H472">
        <v>2</v>
      </c>
      <c r="I472" s="5">
        <v>66634</v>
      </c>
      <c r="J472" s="5">
        <v>133268</v>
      </c>
      <c r="K472" s="5">
        <v>105051.41</v>
      </c>
      <c r="L472" s="5">
        <v>28216.59</v>
      </c>
      <c r="M472" s="6">
        <f t="shared" si="7"/>
        <v>0.21172817180418405</v>
      </c>
    </row>
    <row r="473" spans="1:13" x14ac:dyDescent="0.35">
      <c r="A473">
        <v>2471</v>
      </c>
      <c r="B473" s="4">
        <v>45482</v>
      </c>
      <c r="C473" t="s">
        <v>35</v>
      </c>
      <c r="D473" t="s">
        <v>33</v>
      </c>
      <c r="E473" t="s">
        <v>34</v>
      </c>
      <c r="F473" t="s">
        <v>25</v>
      </c>
      <c r="G473" t="s">
        <v>21</v>
      </c>
      <c r="H473">
        <v>5</v>
      </c>
      <c r="I473" s="5">
        <v>62575</v>
      </c>
      <c r="J473" s="5">
        <v>312875</v>
      </c>
      <c r="K473" s="5">
        <v>225895.83</v>
      </c>
      <c r="L473" s="5">
        <v>86979.17</v>
      </c>
      <c r="M473" s="6">
        <f t="shared" si="7"/>
        <v>0.27799974430683178</v>
      </c>
    </row>
    <row r="474" spans="1:13" x14ac:dyDescent="0.35">
      <c r="A474">
        <v>2472</v>
      </c>
      <c r="B474" s="4">
        <v>45494</v>
      </c>
      <c r="C474" t="s">
        <v>32</v>
      </c>
      <c r="D474" t="s">
        <v>33</v>
      </c>
      <c r="E474" t="s">
        <v>41</v>
      </c>
      <c r="F474" t="s">
        <v>16</v>
      </c>
      <c r="G474" t="s">
        <v>17</v>
      </c>
      <c r="H474">
        <v>3</v>
      </c>
      <c r="I474" s="5">
        <v>22975</v>
      </c>
      <c r="J474" s="5">
        <v>68925</v>
      </c>
      <c r="K474" s="5">
        <v>47933.82</v>
      </c>
      <c r="L474" s="5">
        <v>20991.18</v>
      </c>
      <c r="M474" s="6">
        <f t="shared" si="7"/>
        <v>0.30455103373231773</v>
      </c>
    </row>
    <row r="475" spans="1:13" x14ac:dyDescent="0.35">
      <c r="A475">
        <v>2473</v>
      </c>
      <c r="B475" s="4">
        <v>45349</v>
      </c>
      <c r="C475" t="s">
        <v>32</v>
      </c>
      <c r="D475" t="s">
        <v>33</v>
      </c>
      <c r="E475" t="s">
        <v>41</v>
      </c>
      <c r="F475" t="s">
        <v>16</v>
      </c>
      <c r="G475" t="s">
        <v>39</v>
      </c>
      <c r="H475">
        <v>2</v>
      </c>
      <c r="I475" s="5">
        <v>41225</v>
      </c>
      <c r="J475" s="5">
        <v>82450</v>
      </c>
      <c r="K475" s="5">
        <v>64305.63</v>
      </c>
      <c r="L475" s="5">
        <v>18144.37</v>
      </c>
      <c r="M475" s="6">
        <f t="shared" si="7"/>
        <v>0.22006513038204972</v>
      </c>
    </row>
    <row r="476" spans="1:13" x14ac:dyDescent="0.35">
      <c r="A476">
        <v>2474</v>
      </c>
      <c r="B476" s="4">
        <v>45420</v>
      </c>
      <c r="C476" t="s">
        <v>32</v>
      </c>
      <c r="D476" t="s">
        <v>33</v>
      </c>
      <c r="E476" t="s">
        <v>41</v>
      </c>
      <c r="F476" t="s">
        <v>16</v>
      </c>
      <c r="G476" t="s">
        <v>39</v>
      </c>
      <c r="H476">
        <v>4</v>
      </c>
      <c r="I476" s="5">
        <v>37752</v>
      </c>
      <c r="J476" s="5">
        <v>151008</v>
      </c>
      <c r="K476" s="5">
        <v>114887.53</v>
      </c>
      <c r="L476" s="5">
        <v>36120.47</v>
      </c>
      <c r="M476" s="6">
        <f t="shared" si="7"/>
        <v>0.23919573797414706</v>
      </c>
    </row>
    <row r="477" spans="1:13" x14ac:dyDescent="0.35">
      <c r="A477">
        <v>2475</v>
      </c>
      <c r="B477" s="4">
        <v>45648</v>
      </c>
      <c r="C477" t="s">
        <v>32</v>
      </c>
      <c r="D477" t="s">
        <v>33</v>
      </c>
      <c r="E477" t="s">
        <v>41</v>
      </c>
      <c r="F477" t="s">
        <v>16</v>
      </c>
      <c r="G477" t="s">
        <v>21</v>
      </c>
      <c r="H477">
        <v>1</v>
      </c>
      <c r="I477" s="5">
        <v>75264</v>
      </c>
      <c r="J477" s="5">
        <v>75264</v>
      </c>
      <c r="K477" s="5">
        <v>62608.41</v>
      </c>
      <c r="L477" s="5">
        <v>12655.59</v>
      </c>
      <c r="M477" s="6">
        <f t="shared" si="7"/>
        <v>0.16814931441326531</v>
      </c>
    </row>
    <row r="478" spans="1:13" x14ac:dyDescent="0.35">
      <c r="A478">
        <v>2476</v>
      </c>
      <c r="B478" s="4">
        <v>45639</v>
      </c>
      <c r="C478" t="s">
        <v>27</v>
      </c>
      <c r="D478" t="s">
        <v>28</v>
      </c>
      <c r="E478" t="s">
        <v>29</v>
      </c>
      <c r="F478" t="s">
        <v>30</v>
      </c>
      <c r="G478" t="s">
        <v>17</v>
      </c>
      <c r="H478">
        <v>1</v>
      </c>
      <c r="I478" s="5">
        <v>65609</v>
      </c>
      <c r="J478" s="5">
        <v>65609</v>
      </c>
      <c r="K478" s="5">
        <v>44407.91</v>
      </c>
      <c r="L478" s="5">
        <v>21201.09</v>
      </c>
      <c r="M478" s="6">
        <f t="shared" si="7"/>
        <v>0.32314301391577377</v>
      </c>
    </row>
    <row r="479" spans="1:13" x14ac:dyDescent="0.35">
      <c r="A479">
        <v>2477</v>
      </c>
      <c r="B479" s="4">
        <v>45657</v>
      </c>
      <c r="C479" t="s">
        <v>32</v>
      </c>
      <c r="D479" t="s">
        <v>42</v>
      </c>
      <c r="E479" t="s">
        <v>43</v>
      </c>
      <c r="F479" t="s">
        <v>25</v>
      </c>
      <c r="G479" t="s">
        <v>21</v>
      </c>
      <c r="H479">
        <v>1</v>
      </c>
      <c r="I479" s="5">
        <v>75522</v>
      </c>
      <c r="J479" s="5">
        <v>75522</v>
      </c>
      <c r="K479" s="5">
        <v>50631.360000000001</v>
      </c>
      <c r="L479" s="5">
        <v>24890.639999999999</v>
      </c>
      <c r="M479" s="6">
        <f t="shared" si="7"/>
        <v>0.32958131405418289</v>
      </c>
    </row>
    <row r="480" spans="1:13" x14ac:dyDescent="0.35">
      <c r="A480">
        <v>2478</v>
      </c>
      <c r="B480" s="4">
        <v>45390</v>
      </c>
      <c r="C480" t="s">
        <v>32</v>
      </c>
      <c r="D480" t="s">
        <v>23</v>
      </c>
      <c r="E480" t="s">
        <v>24</v>
      </c>
      <c r="F480" t="s">
        <v>25</v>
      </c>
      <c r="G480" t="s">
        <v>31</v>
      </c>
      <c r="H480">
        <v>5</v>
      </c>
      <c r="I480" s="5">
        <v>70273</v>
      </c>
      <c r="J480" s="5">
        <v>351365</v>
      </c>
      <c r="K480" s="5">
        <v>282847.42</v>
      </c>
      <c r="L480" s="5">
        <v>68517.58</v>
      </c>
      <c r="M480" s="6">
        <f t="shared" si="7"/>
        <v>0.19500399869082008</v>
      </c>
    </row>
    <row r="481" spans="1:13" x14ac:dyDescent="0.35">
      <c r="A481">
        <v>2479</v>
      </c>
      <c r="B481" s="4">
        <v>45321</v>
      </c>
      <c r="C481" t="s">
        <v>18</v>
      </c>
      <c r="D481" t="s">
        <v>33</v>
      </c>
      <c r="E481" t="s">
        <v>34</v>
      </c>
      <c r="F481" t="s">
        <v>25</v>
      </c>
      <c r="G481" t="s">
        <v>21</v>
      </c>
      <c r="H481">
        <v>4</v>
      </c>
      <c r="I481" s="5">
        <v>39051</v>
      </c>
      <c r="J481" s="5">
        <v>156204</v>
      </c>
      <c r="K481" s="5">
        <v>103007.86</v>
      </c>
      <c r="L481" s="5">
        <v>53196.14</v>
      </c>
      <c r="M481" s="6">
        <f t="shared" si="7"/>
        <v>0.34055555555555556</v>
      </c>
    </row>
    <row r="482" spans="1:13" x14ac:dyDescent="0.35">
      <c r="A482">
        <v>2480</v>
      </c>
      <c r="B482" s="4">
        <v>45596</v>
      </c>
      <c r="C482" t="s">
        <v>27</v>
      </c>
      <c r="D482" t="s">
        <v>19</v>
      </c>
      <c r="E482" t="s">
        <v>44</v>
      </c>
      <c r="F482" t="s">
        <v>25</v>
      </c>
      <c r="G482" t="s">
        <v>39</v>
      </c>
      <c r="H482">
        <v>2</v>
      </c>
      <c r="I482" s="5">
        <v>68254</v>
      </c>
      <c r="J482" s="5">
        <v>136508</v>
      </c>
      <c r="K482" s="5">
        <v>96918.77</v>
      </c>
      <c r="L482" s="5">
        <v>39589.230000000003</v>
      </c>
      <c r="M482" s="6">
        <f t="shared" si="7"/>
        <v>0.29001399185395732</v>
      </c>
    </row>
    <row r="483" spans="1:13" x14ac:dyDescent="0.35">
      <c r="A483">
        <v>2481</v>
      </c>
      <c r="B483" s="4">
        <v>45610</v>
      </c>
      <c r="C483" t="s">
        <v>22</v>
      </c>
      <c r="D483" t="s">
        <v>33</v>
      </c>
      <c r="E483" t="s">
        <v>34</v>
      </c>
      <c r="F483" t="s">
        <v>25</v>
      </c>
      <c r="G483" t="s">
        <v>26</v>
      </c>
      <c r="H483">
        <v>2</v>
      </c>
      <c r="I483" s="5">
        <v>23035</v>
      </c>
      <c r="J483" s="5">
        <v>46070</v>
      </c>
      <c r="K483" s="5">
        <v>38399.39</v>
      </c>
      <c r="L483" s="5">
        <v>7670.61</v>
      </c>
      <c r="M483" s="6">
        <f t="shared" si="7"/>
        <v>0.16649902322552637</v>
      </c>
    </row>
    <row r="484" spans="1:13" x14ac:dyDescent="0.35">
      <c r="A484">
        <v>2482</v>
      </c>
      <c r="B484" s="4">
        <v>45466</v>
      </c>
      <c r="C484" t="s">
        <v>13</v>
      </c>
      <c r="D484" t="s">
        <v>14</v>
      </c>
      <c r="E484" t="s">
        <v>15</v>
      </c>
      <c r="F484" t="s">
        <v>16</v>
      </c>
      <c r="G484" t="s">
        <v>36</v>
      </c>
      <c r="H484">
        <v>1</v>
      </c>
      <c r="I484" s="5">
        <v>41504</v>
      </c>
      <c r="J484" s="5">
        <v>41504</v>
      </c>
      <c r="K484" s="5">
        <v>27996.29</v>
      </c>
      <c r="L484" s="5">
        <v>13507.71</v>
      </c>
      <c r="M484" s="6">
        <f t="shared" si="7"/>
        <v>0.32545561873554352</v>
      </c>
    </row>
    <row r="485" spans="1:13" x14ac:dyDescent="0.35">
      <c r="A485">
        <v>2483</v>
      </c>
      <c r="B485" s="4">
        <v>45560</v>
      </c>
      <c r="C485" t="s">
        <v>32</v>
      </c>
      <c r="D485" t="s">
        <v>14</v>
      </c>
      <c r="E485" t="s">
        <v>15</v>
      </c>
      <c r="F485" t="s">
        <v>16</v>
      </c>
      <c r="G485" t="s">
        <v>39</v>
      </c>
      <c r="H485">
        <v>3</v>
      </c>
      <c r="I485" s="5">
        <v>72092</v>
      </c>
      <c r="J485" s="5">
        <v>216276</v>
      </c>
      <c r="K485" s="5">
        <v>142461.16</v>
      </c>
      <c r="L485" s="5">
        <v>73814.84</v>
      </c>
      <c r="M485" s="6">
        <f t="shared" si="7"/>
        <v>0.34129926575301928</v>
      </c>
    </row>
    <row r="486" spans="1:13" x14ac:dyDescent="0.35">
      <c r="A486">
        <v>2484</v>
      </c>
      <c r="B486" s="4">
        <v>45474</v>
      </c>
      <c r="C486" t="s">
        <v>18</v>
      </c>
      <c r="D486" t="s">
        <v>28</v>
      </c>
      <c r="E486" t="s">
        <v>29</v>
      </c>
      <c r="F486" t="s">
        <v>30</v>
      </c>
      <c r="G486" t="s">
        <v>26</v>
      </c>
      <c r="H486">
        <v>5</v>
      </c>
      <c r="I486" s="5">
        <v>50908</v>
      </c>
      <c r="J486" s="5">
        <v>254540</v>
      </c>
      <c r="K486" s="5">
        <v>206331.19</v>
      </c>
      <c r="L486" s="5">
        <v>48208.81</v>
      </c>
      <c r="M486" s="6">
        <f t="shared" si="7"/>
        <v>0.18939581205311543</v>
      </c>
    </row>
    <row r="487" spans="1:13" x14ac:dyDescent="0.35">
      <c r="A487">
        <v>2485</v>
      </c>
      <c r="B487" s="4">
        <v>45416</v>
      </c>
      <c r="C487" t="s">
        <v>27</v>
      </c>
      <c r="D487" t="s">
        <v>19</v>
      </c>
      <c r="E487" t="s">
        <v>20</v>
      </c>
      <c r="F487" t="s">
        <v>16</v>
      </c>
      <c r="G487" t="s">
        <v>39</v>
      </c>
      <c r="H487">
        <v>3</v>
      </c>
      <c r="I487" s="5">
        <v>54445</v>
      </c>
      <c r="J487" s="5">
        <v>163335</v>
      </c>
      <c r="K487" s="5">
        <v>112477.31</v>
      </c>
      <c r="L487" s="5">
        <v>50857.69</v>
      </c>
      <c r="M487" s="6">
        <f t="shared" si="7"/>
        <v>0.31137043499556127</v>
      </c>
    </row>
    <row r="488" spans="1:13" x14ac:dyDescent="0.35">
      <c r="A488">
        <v>2486</v>
      </c>
      <c r="B488" s="4">
        <v>45517</v>
      </c>
      <c r="C488" t="s">
        <v>27</v>
      </c>
      <c r="D488" t="s">
        <v>23</v>
      </c>
      <c r="E488" t="s">
        <v>38</v>
      </c>
      <c r="F488" t="s">
        <v>25</v>
      </c>
      <c r="G488" t="s">
        <v>21</v>
      </c>
      <c r="H488">
        <v>1</v>
      </c>
      <c r="I488" s="5">
        <v>10746</v>
      </c>
      <c r="J488" s="5">
        <v>10746</v>
      </c>
      <c r="K488" s="5">
        <v>8033.81</v>
      </c>
      <c r="L488" s="5">
        <v>2712.19</v>
      </c>
      <c r="M488" s="6">
        <f t="shared" si="7"/>
        <v>0.25239065698864693</v>
      </c>
    </row>
    <row r="489" spans="1:13" x14ac:dyDescent="0.35">
      <c r="A489">
        <v>2487</v>
      </c>
      <c r="B489" s="4">
        <v>45386</v>
      </c>
      <c r="C489" t="s">
        <v>37</v>
      </c>
      <c r="D489" t="s">
        <v>19</v>
      </c>
      <c r="E489" t="s">
        <v>20</v>
      </c>
      <c r="F489" t="s">
        <v>16</v>
      </c>
      <c r="G489" t="s">
        <v>36</v>
      </c>
      <c r="H489">
        <v>2</v>
      </c>
      <c r="I489" s="5">
        <v>46015</v>
      </c>
      <c r="J489" s="5">
        <v>92030</v>
      </c>
      <c r="K489" s="5">
        <v>75901.64</v>
      </c>
      <c r="L489" s="5">
        <v>16128.36</v>
      </c>
      <c r="M489" s="6">
        <f t="shared" si="7"/>
        <v>0.17525111376724981</v>
      </c>
    </row>
    <row r="490" spans="1:13" x14ac:dyDescent="0.35">
      <c r="A490">
        <v>2488</v>
      </c>
      <c r="B490" s="4">
        <v>45593</v>
      </c>
      <c r="C490" t="s">
        <v>37</v>
      </c>
      <c r="D490" t="s">
        <v>23</v>
      </c>
      <c r="E490" t="s">
        <v>24</v>
      </c>
      <c r="F490" t="s">
        <v>25</v>
      </c>
      <c r="G490" t="s">
        <v>31</v>
      </c>
      <c r="H490">
        <v>3</v>
      </c>
      <c r="I490" s="5">
        <v>78573</v>
      </c>
      <c r="J490" s="5">
        <v>235719</v>
      </c>
      <c r="K490" s="5">
        <v>200232.36</v>
      </c>
      <c r="L490" s="5">
        <v>35486.639999999999</v>
      </c>
      <c r="M490" s="6">
        <f t="shared" si="7"/>
        <v>0.150546370890764</v>
      </c>
    </row>
    <row r="491" spans="1:13" x14ac:dyDescent="0.35">
      <c r="A491">
        <v>2489</v>
      </c>
      <c r="B491" s="4">
        <v>45304</v>
      </c>
      <c r="C491" t="s">
        <v>22</v>
      </c>
      <c r="D491" t="s">
        <v>14</v>
      </c>
      <c r="E491" t="s">
        <v>40</v>
      </c>
      <c r="F491" t="s">
        <v>25</v>
      </c>
      <c r="G491" t="s">
        <v>26</v>
      </c>
      <c r="H491">
        <v>3</v>
      </c>
      <c r="I491" s="5">
        <v>27783</v>
      </c>
      <c r="J491" s="5">
        <v>83349</v>
      </c>
      <c r="K491" s="5">
        <v>62297.88</v>
      </c>
      <c r="L491" s="5">
        <v>21051.119999999999</v>
      </c>
      <c r="M491" s="6">
        <f t="shared" si="7"/>
        <v>0.25256595759997119</v>
      </c>
    </row>
    <row r="492" spans="1:13" x14ac:dyDescent="0.35">
      <c r="A492">
        <v>2490</v>
      </c>
      <c r="B492" s="4">
        <v>45310</v>
      </c>
      <c r="C492" t="s">
        <v>37</v>
      </c>
      <c r="D492" t="s">
        <v>23</v>
      </c>
      <c r="E492" t="s">
        <v>38</v>
      </c>
      <c r="F492" t="s">
        <v>25</v>
      </c>
      <c r="G492" t="s">
        <v>26</v>
      </c>
      <c r="H492">
        <v>1</v>
      </c>
      <c r="I492" s="5">
        <v>31892</v>
      </c>
      <c r="J492" s="5">
        <v>31892</v>
      </c>
      <c r="K492" s="5">
        <v>24687.09</v>
      </c>
      <c r="L492" s="5">
        <v>7204.91</v>
      </c>
      <c r="M492" s="6">
        <f t="shared" si="7"/>
        <v>0.2259159036749028</v>
      </c>
    </row>
    <row r="493" spans="1:13" x14ac:dyDescent="0.35">
      <c r="A493">
        <v>2491</v>
      </c>
      <c r="B493" s="4">
        <v>45373</v>
      </c>
      <c r="C493" t="s">
        <v>22</v>
      </c>
      <c r="D493" t="s">
        <v>28</v>
      </c>
      <c r="E493" t="s">
        <v>29</v>
      </c>
      <c r="F493" t="s">
        <v>30</v>
      </c>
      <c r="G493" t="s">
        <v>17</v>
      </c>
      <c r="H493">
        <v>4</v>
      </c>
      <c r="I493" s="5">
        <v>59565</v>
      </c>
      <c r="J493" s="5">
        <v>238260</v>
      </c>
      <c r="K493" s="5">
        <v>165791.26999999999</v>
      </c>
      <c r="L493" s="5">
        <v>72468.73</v>
      </c>
      <c r="M493" s="6">
        <f t="shared" si="7"/>
        <v>0.30415818853353477</v>
      </c>
    </row>
    <row r="494" spans="1:13" x14ac:dyDescent="0.35">
      <c r="A494">
        <v>2492</v>
      </c>
      <c r="B494" s="4">
        <v>45476</v>
      </c>
      <c r="C494" t="s">
        <v>32</v>
      </c>
      <c r="D494" t="s">
        <v>28</v>
      </c>
      <c r="E494" t="s">
        <v>29</v>
      </c>
      <c r="F494" t="s">
        <v>30</v>
      </c>
      <c r="G494" t="s">
        <v>26</v>
      </c>
      <c r="H494">
        <v>3</v>
      </c>
      <c r="I494" s="5">
        <v>77240</v>
      </c>
      <c r="J494" s="5">
        <v>231720</v>
      </c>
      <c r="K494" s="5">
        <v>160642.87</v>
      </c>
      <c r="L494" s="5">
        <v>71077.13</v>
      </c>
      <c r="M494" s="6">
        <f t="shared" si="7"/>
        <v>0.30673713965130334</v>
      </c>
    </row>
    <row r="495" spans="1:13" x14ac:dyDescent="0.35">
      <c r="A495">
        <v>2493</v>
      </c>
      <c r="B495" s="4">
        <v>45314</v>
      </c>
      <c r="C495" t="s">
        <v>32</v>
      </c>
      <c r="D495" t="s">
        <v>33</v>
      </c>
      <c r="E495" t="s">
        <v>34</v>
      </c>
      <c r="F495" t="s">
        <v>25</v>
      </c>
      <c r="G495" t="s">
        <v>21</v>
      </c>
      <c r="H495">
        <v>2</v>
      </c>
      <c r="I495" s="5">
        <v>30246</v>
      </c>
      <c r="J495" s="5">
        <v>60492</v>
      </c>
      <c r="K495" s="5">
        <v>49230.57</v>
      </c>
      <c r="L495" s="5">
        <v>11261.43</v>
      </c>
      <c r="M495" s="6">
        <f t="shared" si="7"/>
        <v>0.18616395556437215</v>
      </c>
    </row>
    <row r="496" spans="1:13" x14ac:dyDescent="0.35">
      <c r="A496">
        <v>2494</v>
      </c>
      <c r="B496" s="4">
        <v>45531</v>
      </c>
      <c r="C496" t="s">
        <v>18</v>
      </c>
      <c r="D496" t="s">
        <v>23</v>
      </c>
      <c r="E496" t="s">
        <v>38</v>
      </c>
      <c r="F496" t="s">
        <v>25</v>
      </c>
      <c r="G496" t="s">
        <v>21</v>
      </c>
      <c r="H496">
        <v>4</v>
      </c>
      <c r="I496" s="5">
        <v>54357</v>
      </c>
      <c r="J496" s="5">
        <v>217428</v>
      </c>
      <c r="K496" s="5">
        <v>154998.32</v>
      </c>
      <c r="L496" s="5">
        <v>62429.68</v>
      </c>
      <c r="M496" s="6">
        <f t="shared" si="7"/>
        <v>0.2871280607833398</v>
      </c>
    </row>
    <row r="497" spans="1:13" x14ac:dyDescent="0.35">
      <c r="A497">
        <v>2495</v>
      </c>
      <c r="B497" s="4">
        <v>45462</v>
      </c>
      <c r="C497" t="s">
        <v>32</v>
      </c>
      <c r="D497" t="s">
        <v>14</v>
      </c>
      <c r="E497" t="s">
        <v>15</v>
      </c>
      <c r="F497" t="s">
        <v>16</v>
      </c>
      <c r="G497" t="s">
        <v>17</v>
      </c>
      <c r="H497">
        <v>2</v>
      </c>
      <c r="I497" s="5">
        <v>10688</v>
      </c>
      <c r="J497" s="5">
        <v>21376</v>
      </c>
      <c r="K497" s="5">
        <v>14957.81</v>
      </c>
      <c r="L497" s="5">
        <v>6418.19</v>
      </c>
      <c r="M497" s="6">
        <f t="shared" si="7"/>
        <v>0.30025215194610777</v>
      </c>
    </row>
    <row r="498" spans="1:13" x14ac:dyDescent="0.35">
      <c r="A498">
        <v>2496</v>
      </c>
      <c r="B498" s="4">
        <v>45366</v>
      </c>
      <c r="C498" t="s">
        <v>27</v>
      </c>
      <c r="D498" t="s">
        <v>28</v>
      </c>
      <c r="E498" t="s">
        <v>29</v>
      </c>
      <c r="F498" t="s">
        <v>30</v>
      </c>
      <c r="G498" t="s">
        <v>39</v>
      </c>
      <c r="H498">
        <v>2</v>
      </c>
      <c r="I498" s="5">
        <v>43738</v>
      </c>
      <c r="J498" s="5">
        <v>87476</v>
      </c>
      <c r="K498" s="5">
        <v>63585.1</v>
      </c>
      <c r="L498" s="5">
        <v>23890.9</v>
      </c>
      <c r="M498" s="6">
        <f t="shared" si="7"/>
        <v>0.2731137683478897</v>
      </c>
    </row>
    <row r="499" spans="1:13" x14ac:dyDescent="0.35">
      <c r="A499">
        <v>2497</v>
      </c>
      <c r="B499" s="4">
        <v>45474</v>
      </c>
      <c r="C499" t="s">
        <v>32</v>
      </c>
      <c r="D499" t="s">
        <v>19</v>
      </c>
      <c r="E499" t="s">
        <v>20</v>
      </c>
      <c r="F499" t="s">
        <v>16</v>
      </c>
      <c r="G499" t="s">
        <v>36</v>
      </c>
      <c r="H499">
        <v>5</v>
      </c>
      <c r="I499" s="5">
        <v>77225</v>
      </c>
      <c r="J499" s="5">
        <v>386125</v>
      </c>
      <c r="K499" s="5">
        <v>296112.46999999997</v>
      </c>
      <c r="L499" s="5">
        <v>90012.53</v>
      </c>
      <c r="M499" s="6">
        <f t="shared" si="7"/>
        <v>0.23311759145354483</v>
      </c>
    </row>
    <row r="500" spans="1:13" x14ac:dyDescent="0.35">
      <c r="A500">
        <v>2498</v>
      </c>
      <c r="B500" s="4">
        <v>45579</v>
      </c>
      <c r="C500" t="s">
        <v>35</v>
      </c>
      <c r="D500" t="s">
        <v>33</v>
      </c>
      <c r="E500" t="s">
        <v>34</v>
      </c>
      <c r="F500" t="s">
        <v>25</v>
      </c>
      <c r="G500" t="s">
        <v>26</v>
      </c>
      <c r="H500">
        <v>1</v>
      </c>
      <c r="I500" s="5">
        <v>34115</v>
      </c>
      <c r="J500" s="5">
        <v>34115</v>
      </c>
      <c r="K500" s="5">
        <v>27457.79</v>
      </c>
      <c r="L500" s="5">
        <v>6657.21</v>
      </c>
      <c r="M500" s="6">
        <f t="shared" si="7"/>
        <v>0.19514026088230985</v>
      </c>
    </row>
    <row r="501" spans="1:13" x14ac:dyDescent="0.35">
      <c r="A501">
        <v>2499</v>
      </c>
      <c r="B501" s="4">
        <v>45477</v>
      </c>
      <c r="C501" t="s">
        <v>35</v>
      </c>
      <c r="D501" t="s">
        <v>28</v>
      </c>
      <c r="E501" t="s">
        <v>29</v>
      </c>
      <c r="F501" t="s">
        <v>30</v>
      </c>
      <c r="G501" t="s">
        <v>26</v>
      </c>
      <c r="H501">
        <v>3</v>
      </c>
      <c r="I501" s="5">
        <v>39200</v>
      </c>
      <c r="J501" s="5">
        <v>117600</v>
      </c>
      <c r="K501" s="5">
        <v>96968.57</v>
      </c>
      <c r="L501" s="5">
        <v>20631.43</v>
      </c>
      <c r="M501" s="6">
        <f t="shared" si="7"/>
        <v>0.17543732993197278</v>
      </c>
    </row>
    <row r="1048576" spans="10:12" x14ac:dyDescent="0.35">
      <c r="J1048576" s="5">
        <f>SUM(J2:J1048575)</f>
        <v>61971147</v>
      </c>
      <c r="L1048576" s="5">
        <f>SUM(L2:L1048575)</f>
        <v>15722217.35999999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Ziya Patel</dc:creator>
  <cp:lastModifiedBy>Ziya Patel</cp:lastModifiedBy>
  <dcterms:created xsi:type="dcterms:W3CDTF">2026-03-11T14:57:13Z</dcterms:created>
  <dcterms:modified xsi:type="dcterms:W3CDTF">2026-03-11T14:58:42Z</dcterms:modified>
</cp:coreProperties>
</file>