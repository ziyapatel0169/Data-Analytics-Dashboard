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ziyap\OneDrive\Desktop\"/>
    </mc:Choice>
  </mc:AlternateContent>
  <xr:revisionPtr revIDLastSave="2" documentId="11_2D2546CF956396DFE54878D6425DCE3A87436A24" xr6:coauthVersionLast="36" xr6:coauthVersionMax="36" xr10:uidLastSave="{637310C4-1482-4D89-9215-D79AE48F45FE}"/>
  <bookViews>
    <workbookView xWindow="0" yWindow="0" windowWidth="19200" windowHeight="6810" activeTab="2" xr2:uid="{00000000-000D-0000-FFFF-FFFF00000000}"/>
  </bookViews>
  <sheets>
    <sheet name="Pivot" sheetId="2" r:id="rId1"/>
    <sheet name="Pivot 2" sheetId="4" r:id="rId2"/>
    <sheet name="Dashboard" sheetId="5" r:id="rId3"/>
    <sheet name="Sheet1" sheetId="1" r:id="rId4"/>
  </sheets>
  <definedNames>
    <definedName name="Slicer_Category">#N/A</definedName>
    <definedName name="Slicer_City">#N/A</definedName>
    <definedName name="Slicer_Material">#N/A</definedName>
    <definedName name="Slicer_Salesperson">#N/A</definedName>
  </definedNames>
  <calcPr calcId="191029"/>
  <pivotCaches>
    <pivotCache cacheId="24" r:id="rId5"/>
    <pivotCache cacheId="13" r:id="rId6"/>
    <pivotCache cacheId="2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6" i="1" l="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3" i="1"/>
  <c r="M4" i="1"/>
  <c r="M5" i="1"/>
  <c r="M6" i="1"/>
  <c r="M7" i="1"/>
  <c r="M8" i="1"/>
  <c r="M9" i="1"/>
  <c r="M10" i="1"/>
  <c r="M11" i="1"/>
  <c r="M12" i="1"/>
  <c r="M13" i="1"/>
  <c r="M14" i="1"/>
  <c r="M15" i="1"/>
  <c r="M2" i="1"/>
  <c r="J1048576" i="1"/>
  <c r="L1048576" i="1"/>
  <c r="AB11" i="5"/>
  <c r="AB16" i="5"/>
  <c r="AB15" i="5"/>
  <c r="AB14" i="5"/>
</calcChain>
</file>

<file path=xl/sharedStrings.xml><?xml version="1.0" encoding="utf-8"?>
<sst xmlns="http://schemas.openxmlformats.org/spreadsheetml/2006/main" count="2566" uniqueCount="65">
  <si>
    <t>Order ID</t>
  </si>
  <si>
    <t>Order Date</t>
  </si>
  <si>
    <t>City</t>
  </si>
  <si>
    <t>Category</t>
  </si>
  <si>
    <t>Product</t>
  </si>
  <si>
    <t>Material</t>
  </si>
  <si>
    <t>Salesperson</t>
  </si>
  <si>
    <t>Quantity</t>
  </si>
  <si>
    <t>Unit Price</t>
  </si>
  <si>
    <t>Sales</t>
  </si>
  <si>
    <t>Cost</t>
  </si>
  <si>
    <t>Profit</t>
  </si>
  <si>
    <t>Mumbai</t>
  </si>
  <si>
    <t>Earrings</t>
  </si>
  <si>
    <t>Diamond Earrings</t>
  </si>
  <si>
    <t>Diamond</t>
  </si>
  <si>
    <t>Meera</t>
  </si>
  <si>
    <t>Ahmedabad</t>
  </si>
  <si>
    <t>Rings</t>
  </si>
  <si>
    <t>Diamond Ring</t>
  </si>
  <si>
    <t>Arjun</t>
  </si>
  <si>
    <t>Delhi</t>
  </si>
  <si>
    <t>Bracelets</t>
  </si>
  <si>
    <t>Bracelet</t>
  </si>
  <si>
    <t>Gold</t>
  </si>
  <si>
    <t>Aisha</t>
  </si>
  <si>
    <t>Surat</t>
  </si>
  <si>
    <t>Anklets</t>
  </si>
  <si>
    <t>Anklet</t>
  </si>
  <si>
    <t>Silver</t>
  </si>
  <si>
    <t>Rohan</t>
  </si>
  <si>
    <t>Jaipur</t>
  </si>
  <si>
    <t>Necklaces</t>
  </si>
  <si>
    <t>Gold Necklace</t>
  </si>
  <si>
    <t>Pune</t>
  </si>
  <si>
    <t>Karan</t>
  </si>
  <si>
    <t>Bangalore</t>
  </si>
  <si>
    <t>Bangle</t>
  </si>
  <si>
    <t>Nisha</t>
  </si>
  <si>
    <t>Gold Earrings</t>
  </si>
  <si>
    <t>Diamond Necklace</t>
  </si>
  <si>
    <t>Pendants</t>
  </si>
  <si>
    <t>Pendant</t>
  </si>
  <si>
    <t>Gold Ring</t>
  </si>
  <si>
    <t>Profit Margin</t>
  </si>
  <si>
    <t>Sum of Sales</t>
  </si>
  <si>
    <t>Sum of Cost</t>
  </si>
  <si>
    <t>Sum of Profit</t>
  </si>
  <si>
    <t>Average of Profit Margin</t>
  </si>
  <si>
    <t>Row Labels</t>
  </si>
  <si>
    <t>Grand Total</t>
  </si>
  <si>
    <t>Jan</t>
  </si>
  <si>
    <t>Feb</t>
  </si>
  <si>
    <t>Mar</t>
  </si>
  <si>
    <t>Apr</t>
  </si>
  <si>
    <t>May</t>
  </si>
  <si>
    <t>Jun</t>
  </si>
  <si>
    <t>Jul</t>
  </si>
  <si>
    <t>Aug</t>
  </si>
  <si>
    <t>Sep</t>
  </si>
  <si>
    <t>Oct</t>
  </si>
  <si>
    <t>Nov</t>
  </si>
  <si>
    <t>Dec</t>
  </si>
  <si>
    <t>2024</t>
  </si>
  <si>
    <t>Jewellery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</si>
</sst>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 #,##0.00"/>
    <numFmt numFmtId="169" formatCode="_ [$₹-4009]\ * #,##0_ ;_ [$₹-4009]\ * \-#,##0_ ;_ [$₹-4009]\ * &quot;-&quot;??_ ;_ @_ "/>
  </numFmts>
  <fonts count="5" x14ac:knownFonts="1">
    <font>
      <sz val="11"/>
      <color theme="1"/>
      <name val="Calibri"/>
      <family val="2"/>
      <scheme val="minor"/>
    </font>
    <font>
      <b/>
      <sz val="11"/>
      <name val="Calibri"/>
    </font>
    <font>
      <sz val="11"/>
      <color theme="1"/>
      <name val="Calibri"/>
      <family val="2"/>
      <scheme val="minor"/>
    </font>
    <font>
      <sz val="28"/>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10" fontId="1" fillId="0" borderId="2" xfId="0" applyNumberFormat="1" applyFont="1" applyFill="1" applyBorder="1" applyAlignment="1">
      <alignment horizontal="center" vertical="top"/>
    </xf>
    <xf numFmtId="10" fontId="0" fillId="0" borderId="0" xfId="0" applyNumberFormat="1"/>
    <xf numFmtId="165" fontId="0" fillId="0" borderId="0" xfId="0" applyNumberFormat="1"/>
    <xf numFmtId="165"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indent="1"/>
    </xf>
    <xf numFmtId="9" fontId="0" fillId="0" borderId="0" xfId="1" applyFont="1"/>
    <xf numFmtId="0" fontId="3" fillId="0" borderId="0" xfId="0" applyFont="1" applyAlignment="1"/>
    <xf numFmtId="169" fontId="0" fillId="0" borderId="0" xfId="0" applyNumberFormat="1"/>
    <xf numFmtId="0" fontId="4" fillId="2" borderId="0" xfId="0" applyFont="1" applyFill="1" applyAlignment="1">
      <alignment horizontal="center"/>
    </xf>
  </cellXfs>
  <cellStyles count="2">
    <cellStyle name="Normal" xfId="0" builtinId="0"/>
    <cellStyle name="Percent" xfId="1" builtinId="5"/>
  </cellStyles>
  <dxfs count="7">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[jewellery_sales_dashboard_data.xlsx]Pivot 2!PivotTable2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2'!$B$3</c:f>
              <c:strCache>
                <c:ptCount val="1"/>
                <c:pt idx="0">
                  <c:v>Total</c:v>
                </c:pt>
              </c:strCache>
            </c:strRef>
          </c:tx>
          <c:spPr>
            <a:solidFill>
              <a:schemeClr val="accent1"/>
            </a:solidFill>
            <a:ln>
              <a:noFill/>
            </a:ln>
            <a:effectLst/>
            <a:sp3d/>
          </c:spPr>
          <c:invertIfNegative val="0"/>
          <c:cat>
            <c:strRef>
              <c:f>'Pivot 2'!$A$4:$A$10</c:f>
              <c:strCache>
                <c:ptCount val="6"/>
                <c:pt idx="0">
                  <c:v>Anklets</c:v>
                </c:pt>
                <c:pt idx="1">
                  <c:v>Bracelets</c:v>
                </c:pt>
                <c:pt idx="2">
                  <c:v>Earrings</c:v>
                </c:pt>
                <c:pt idx="3">
                  <c:v>Necklaces</c:v>
                </c:pt>
                <c:pt idx="4">
                  <c:v>Pendants</c:v>
                </c:pt>
                <c:pt idx="5">
                  <c:v>Rings</c:v>
                </c:pt>
              </c:strCache>
            </c:strRef>
          </c:cat>
          <c:val>
            <c:numRef>
              <c:f>'Pivot 2'!$B$4:$B$10</c:f>
              <c:numCache>
                <c:formatCode>General</c:formatCode>
                <c:ptCount val="6"/>
                <c:pt idx="0">
                  <c:v>5872975</c:v>
                </c:pt>
                <c:pt idx="1">
                  <c:v>11262472</c:v>
                </c:pt>
                <c:pt idx="2">
                  <c:v>12649515</c:v>
                </c:pt>
                <c:pt idx="3">
                  <c:v>13957126</c:v>
                </c:pt>
                <c:pt idx="4">
                  <c:v>6495495</c:v>
                </c:pt>
                <c:pt idx="5">
                  <c:v>11733564</c:v>
                </c:pt>
              </c:numCache>
            </c:numRef>
          </c:val>
          <c:extLst>
            <c:ext xmlns:c16="http://schemas.microsoft.com/office/drawing/2014/chart" uri="{C3380CC4-5D6E-409C-BE32-E72D297353CC}">
              <c16:uniqueId val="{00000000-285B-4547-9CD6-367A50FC5617}"/>
            </c:ext>
          </c:extLst>
        </c:ser>
        <c:dLbls>
          <c:showLegendKey val="0"/>
          <c:showVal val="0"/>
          <c:showCatName val="0"/>
          <c:showSerName val="0"/>
          <c:showPercent val="0"/>
          <c:showBubbleSize val="0"/>
        </c:dLbls>
        <c:gapWidth val="150"/>
        <c:shape val="box"/>
        <c:axId val="462809776"/>
        <c:axId val="668214496"/>
        <c:axId val="0"/>
      </c:bar3DChart>
      <c:catAx>
        <c:axId val="462809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14496"/>
        <c:crosses val="autoZero"/>
        <c:auto val="1"/>
        <c:lblAlgn val="ctr"/>
        <c:lblOffset val="100"/>
        <c:noMultiLvlLbl val="0"/>
      </c:catAx>
      <c:valAx>
        <c:axId val="66821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0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[jewellery_sales_dashboard_data.xlsx]Pivot 2!PivotTable3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2'!$J$3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2'!$I$4:$I$17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2'!$J$4:$J$17</c:f>
              <c:numCache>
                <c:formatCode>General</c:formatCode>
                <c:ptCount val="12"/>
                <c:pt idx="0">
                  <c:v>6651878</c:v>
                </c:pt>
                <c:pt idx="1">
                  <c:v>4234973</c:v>
                </c:pt>
                <c:pt idx="2">
                  <c:v>3641584</c:v>
                </c:pt>
                <c:pt idx="3">
                  <c:v>5336527</c:v>
                </c:pt>
                <c:pt idx="4">
                  <c:v>6828298</c:v>
                </c:pt>
                <c:pt idx="5">
                  <c:v>5105138</c:v>
                </c:pt>
                <c:pt idx="6">
                  <c:v>5433172</c:v>
                </c:pt>
                <c:pt idx="7">
                  <c:v>5621153</c:v>
                </c:pt>
                <c:pt idx="8">
                  <c:v>4525795</c:v>
                </c:pt>
                <c:pt idx="9">
                  <c:v>4294337</c:v>
                </c:pt>
                <c:pt idx="10">
                  <c:v>5525221</c:v>
                </c:pt>
                <c:pt idx="11">
                  <c:v>4773071</c:v>
                </c:pt>
              </c:numCache>
            </c:numRef>
          </c:val>
          <c:smooth val="0"/>
          <c:extLst>
            <c:ext xmlns:c16="http://schemas.microsoft.com/office/drawing/2014/chart" uri="{C3380CC4-5D6E-409C-BE32-E72D297353CC}">
              <c16:uniqueId val="{00000000-01E3-4291-B7EB-9F8320CD8E24}"/>
            </c:ext>
          </c:extLst>
        </c:ser>
        <c:dLbls>
          <c:showLegendKey val="0"/>
          <c:showVal val="0"/>
          <c:showCatName val="0"/>
          <c:showSerName val="0"/>
          <c:showPercent val="0"/>
          <c:showBubbleSize val="0"/>
        </c:dLbls>
        <c:marker val="1"/>
        <c:smooth val="0"/>
        <c:axId val="566031600"/>
        <c:axId val="565655568"/>
      </c:lineChart>
      <c:catAx>
        <c:axId val="56603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55568"/>
        <c:crosses val="autoZero"/>
        <c:auto val="1"/>
        <c:lblAlgn val="ctr"/>
        <c:lblOffset val="100"/>
        <c:noMultiLvlLbl val="0"/>
      </c:catAx>
      <c:valAx>
        <c:axId val="56565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[jewellery_sales_dashboard_data.xlsx]Pivot 2!PivotTable4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2'!$S$3</c:f>
              <c:strCache>
                <c:ptCount val="1"/>
                <c:pt idx="0">
                  <c:v>Total</c:v>
                </c:pt>
              </c:strCache>
            </c:strRef>
          </c:tx>
          <c:spPr>
            <a:solidFill>
              <a:schemeClr val="accent1"/>
            </a:solidFill>
            <a:ln>
              <a:noFill/>
            </a:ln>
            <a:effectLst/>
            <a:sp3d/>
          </c:spPr>
          <c:invertIfNegative val="0"/>
          <c:cat>
            <c:strRef>
              <c:f>'Pivot 2'!$R$4:$R$11</c:f>
              <c:strCache>
                <c:ptCount val="7"/>
                <c:pt idx="0">
                  <c:v>Ahmedabad</c:v>
                </c:pt>
                <c:pt idx="1">
                  <c:v>Bangalore</c:v>
                </c:pt>
                <c:pt idx="2">
                  <c:v>Delhi</c:v>
                </c:pt>
                <c:pt idx="3">
                  <c:v>Jaipur</c:v>
                </c:pt>
                <c:pt idx="4">
                  <c:v>Mumbai</c:v>
                </c:pt>
                <c:pt idx="5">
                  <c:v>Pune</c:v>
                </c:pt>
                <c:pt idx="6">
                  <c:v>Surat</c:v>
                </c:pt>
              </c:strCache>
            </c:strRef>
          </c:cat>
          <c:val>
            <c:numRef>
              <c:f>'Pivot 2'!$S$4:$S$11</c:f>
              <c:numCache>
                <c:formatCode>General</c:formatCode>
                <c:ptCount val="7"/>
                <c:pt idx="0">
                  <c:v>8133534</c:v>
                </c:pt>
                <c:pt idx="1">
                  <c:v>6708254</c:v>
                </c:pt>
                <c:pt idx="2">
                  <c:v>10333379</c:v>
                </c:pt>
                <c:pt idx="3">
                  <c:v>9231234</c:v>
                </c:pt>
                <c:pt idx="4">
                  <c:v>6939065</c:v>
                </c:pt>
                <c:pt idx="5">
                  <c:v>10697536</c:v>
                </c:pt>
                <c:pt idx="6">
                  <c:v>9928145</c:v>
                </c:pt>
              </c:numCache>
            </c:numRef>
          </c:val>
          <c:extLst>
            <c:ext xmlns:c16="http://schemas.microsoft.com/office/drawing/2014/chart" uri="{C3380CC4-5D6E-409C-BE32-E72D297353CC}">
              <c16:uniqueId val="{00000000-E2A2-4D92-B9F5-047022FE69FC}"/>
            </c:ext>
          </c:extLst>
        </c:ser>
        <c:dLbls>
          <c:showLegendKey val="0"/>
          <c:showVal val="0"/>
          <c:showCatName val="0"/>
          <c:showSerName val="0"/>
          <c:showPercent val="0"/>
          <c:showBubbleSize val="0"/>
        </c:dLbls>
        <c:gapWidth val="150"/>
        <c:shape val="box"/>
        <c:axId val="667689456"/>
        <c:axId val="471825728"/>
        <c:axId val="0"/>
      </c:bar3DChart>
      <c:catAx>
        <c:axId val="66768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25728"/>
        <c:crosses val="autoZero"/>
        <c:auto val="1"/>
        <c:lblAlgn val="ctr"/>
        <c:lblOffset val="100"/>
        <c:noMultiLvlLbl val="0"/>
      </c:catAx>
      <c:valAx>
        <c:axId val="47182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8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[jewellery_sales_dashboard_data.xlsx]Pivot 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2'!$Z$3</c:f>
              <c:strCache>
                <c:ptCount val="1"/>
                <c:pt idx="0">
                  <c:v>Total</c:v>
                </c:pt>
              </c:strCache>
            </c:strRef>
          </c:tx>
          <c:spPr>
            <a:solidFill>
              <a:schemeClr val="accent1"/>
            </a:solidFill>
            <a:ln>
              <a:noFill/>
            </a:ln>
            <a:effectLst/>
            <a:sp3d/>
          </c:spPr>
          <c:invertIfNegative val="0"/>
          <c:cat>
            <c:strRef>
              <c:f>'Pivot 2'!$Y$4:$Y$14</c:f>
              <c:strCache>
                <c:ptCount val="10"/>
                <c:pt idx="0">
                  <c:v>Diamond Necklace</c:v>
                </c:pt>
                <c:pt idx="1">
                  <c:v>Gold Earrings</c:v>
                </c:pt>
                <c:pt idx="2">
                  <c:v>Gold Necklace</c:v>
                </c:pt>
                <c:pt idx="3">
                  <c:v>Pendant</c:v>
                </c:pt>
                <c:pt idx="4">
                  <c:v>Diamond Ring</c:v>
                </c:pt>
                <c:pt idx="5">
                  <c:v>Anklet</c:v>
                </c:pt>
                <c:pt idx="6">
                  <c:v>Bangle</c:v>
                </c:pt>
                <c:pt idx="7">
                  <c:v>Gold Ring</c:v>
                </c:pt>
                <c:pt idx="8">
                  <c:v>Diamond Earrings</c:v>
                </c:pt>
                <c:pt idx="9">
                  <c:v>Bracelet</c:v>
                </c:pt>
              </c:strCache>
            </c:strRef>
          </c:cat>
          <c:val>
            <c:numRef>
              <c:f>'Pivot 2'!$Z$4:$Z$14</c:f>
              <c:numCache>
                <c:formatCode>General</c:formatCode>
                <c:ptCount val="10"/>
                <c:pt idx="0">
                  <c:v>7289473</c:v>
                </c:pt>
                <c:pt idx="1">
                  <c:v>7085134</c:v>
                </c:pt>
                <c:pt idx="2">
                  <c:v>6667653</c:v>
                </c:pt>
                <c:pt idx="3">
                  <c:v>6495495</c:v>
                </c:pt>
                <c:pt idx="4">
                  <c:v>6029970</c:v>
                </c:pt>
                <c:pt idx="5">
                  <c:v>5872975</c:v>
                </c:pt>
                <c:pt idx="6">
                  <c:v>5712992</c:v>
                </c:pt>
                <c:pt idx="7">
                  <c:v>5703594</c:v>
                </c:pt>
                <c:pt idx="8">
                  <c:v>5564381</c:v>
                </c:pt>
                <c:pt idx="9">
                  <c:v>5549480</c:v>
                </c:pt>
              </c:numCache>
            </c:numRef>
          </c:val>
          <c:extLst>
            <c:ext xmlns:c16="http://schemas.microsoft.com/office/drawing/2014/chart" uri="{C3380CC4-5D6E-409C-BE32-E72D297353CC}">
              <c16:uniqueId val="{00000000-0EC7-4B12-AFDF-2E4863C4999C}"/>
            </c:ext>
          </c:extLst>
        </c:ser>
        <c:dLbls>
          <c:showLegendKey val="0"/>
          <c:showVal val="0"/>
          <c:showCatName val="0"/>
          <c:showSerName val="0"/>
          <c:showPercent val="0"/>
          <c:showBubbleSize val="0"/>
        </c:dLbls>
        <c:gapWidth val="150"/>
        <c:shape val="box"/>
        <c:axId val="667705856"/>
        <c:axId val="565674288"/>
        <c:axId val="0"/>
      </c:bar3DChart>
      <c:catAx>
        <c:axId val="667705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74288"/>
        <c:crosses val="autoZero"/>
        <c:auto val="1"/>
        <c:lblAlgn val="ctr"/>
        <c:lblOffset val="100"/>
        <c:noMultiLvlLbl val="0"/>
      </c:catAx>
      <c:valAx>
        <c:axId val="56567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0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400050</xdr:colOff>
      <xdr:row>15</xdr:row>
      <xdr:rowOff>19322</xdr:rowOff>
    </xdr:from>
    <xdr:to>
      <xdr:col>8</xdr:col>
      <xdr:colOff>205662</xdr:colOff>
      <xdr:row>30</xdr:row>
      <xdr:rowOff>75349</xdr:rowOff>
    </xdr:to>
    <xdr:graphicFrame macro="">
      <xdr:nvGraphicFramePr>
        <xdr:cNvPr id="2" name="Chart 1">
          <a:extLst>
            <a:ext uri="{FF2B5EF4-FFF2-40B4-BE49-F238E27FC236}">
              <a16:creationId xmlns:a16="http://schemas.microsoft.com/office/drawing/2014/main" id="{C250D669-1381-4FA8-8126-D05B9C034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158665</xdr:colOff>
      <xdr:row>15</xdr:row>
      <xdr:rowOff>48581</xdr:rowOff>
    </xdr:from>
    <xdr:to>
      <xdr:col>15</xdr:col>
      <xdr:colOff>562888</xdr:colOff>
      <xdr:row>30</xdr:row>
      <xdr:rowOff>155144</xdr:rowOff>
    </xdr:to>
    <xdr:graphicFrame macro="">
      <xdr:nvGraphicFramePr>
        <xdr:cNvPr id="3" name="Chart 2">
          <a:extLst>
            <a:ext uri="{FF2B5EF4-FFF2-40B4-BE49-F238E27FC236}">
              <a16:creationId xmlns:a16="http://schemas.microsoft.com/office/drawing/2014/main" id="{1E05BB0C-B8A6-4353-BF7B-8C433A7B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452240</xdr:colOff>
      <xdr:row>32</xdr:row>
      <xdr:rowOff>140685</xdr:rowOff>
    </xdr:from>
    <xdr:to>
      <xdr:col>8</xdr:col>
      <xdr:colOff>98536</xdr:colOff>
      <xdr:row>48</xdr:row>
      <xdr:rowOff>52208</xdr:rowOff>
    </xdr:to>
    <xdr:graphicFrame macro="">
      <xdr:nvGraphicFramePr>
        <xdr:cNvPr id="4" name="Chart 3">
          <a:extLst>
            <a:ext uri="{FF2B5EF4-FFF2-40B4-BE49-F238E27FC236}">
              <a16:creationId xmlns:a16="http://schemas.microsoft.com/office/drawing/2014/main" id="{2421F51D-8BCC-47BA-89C8-4F76D854E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199868</xdr:colOff>
      <xdr:row>33</xdr:row>
      <xdr:rowOff>67701</xdr:rowOff>
    </xdr:from>
    <xdr:to>
      <xdr:col>15</xdr:col>
      <xdr:colOff>456261</xdr:colOff>
      <xdr:row>48</xdr:row>
      <xdr:rowOff>165988</xdr:rowOff>
    </xdr:to>
    <xdr:graphicFrame macro="">
      <xdr:nvGraphicFramePr>
        <xdr:cNvPr id="5" name="Chart 4">
          <a:extLst>
            <a:ext uri="{FF2B5EF4-FFF2-40B4-BE49-F238E27FC236}">
              <a16:creationId xmlns:a16="http://schemas.microsoft.com/office/drawing/2014/main" id="{4D87FA76-362A-4E10-9982-523F19998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299640</xdr:colOff>
      <xdr:row>34</xdr:row>
      <xdr:rowOff>135093</xdr:rowOff>
    </xdr:from>
    <xdr:to>
      <xdr:col>19</xdr:col>
      <xdr:colOff>35040</xdr:colOff>
      <xdr:row>49</xdr:row>
      <xdr:rowOff>9071</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477B7A12-214D-4331-BECE-4E0BA142AC9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090185" y="6415820"/>
              <a:ext cx="1571128" cy="2644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45287</xdr:colOff>
      <xdr:row>16</xdr:row>
      <xdr:rowOff>94558</xdr:rowOff>
    </xdr:from>
    <xdr:to>
      <xdr:col>22</xdr:col>
      <xdr:colOff>390785</xdr:colOff>
      <xdr:row>30</xdr:row>
      <xdr:rowOff>155301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281920B-DB78-49C9-8CB9-F853C4748E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83469" y="3050194"/>
              <a:ext cx="1569316" cy="264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117145</xdr:colOff>
      <xdr:row>34</xdr:row>
      <xdr:rowOff>108495</xdr:rowOff>
    </xdr:from>
    <xdr:to>
      <xdr:col>22</xdr:col>
      <xdr:colOff>462643</xdr:colOff>
      <xdr:row>48</xdr:row>
      <xdr:rowOff>162737</xdr:rowOff>
    </xdr:to>
    <mc:AlternateContent xmlns:mc="http://schemas.openxmlformats.org/markup-compatibility/2006">
      <mc:Choice xmlns:a14="http://schemas.microsoft.com/office/drawing/2010/main" Requires="a14">
        <xdr:graphicFrame macro="">
          <xdr:nvGraphicFramePr>
            <xdr:cNvPr id="8" name="Material">
              <a:extLst>
                <a:ext uri="{FF2B5EF4-FFF2-40B4-BE49-F238E27FC236}">
                  <a16:creationId xmlns:a16="http://schemas.microsoft.com/office/drawing/2014/main" id="{8DC38F1F-A406-4953-B6A6-4126122F6FB6}"/>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dr:sp macro="" textlink="">
          <xdr:nvSpPr>
            <xdr:cNvPr id="0" name=""/>
            <xdr:cNvSpPr>
              <a:spLocks noTextEdit="1"/>
            </xdr:cNvSpPr>
          </xdr:nvSpPr>
          <xdr:spPr>
            <a:xfrm>
              <a:off x="12355327" y="6389222"/>
              <a:ext cx="1569316" cy="264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269175</xdr:colOff>
      <xdr:row>16</xdr:row>
      <xdr:rowOff>108585</xdr:rowOff>
    </xdr:from>
    <xdr:to>
      <xdr:col>19</xdr:col>
      <xdr:colOff>4575</xdr:colOff>
      <xdr:row>30</xdr:row>
      <xdr:rowOff>169328</xdr:rowOff>
    </xdr:to>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8508E8CA-1349-4E7F-B6D8-58EC9290111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0059720" y="3064221"/>
              <a:ext cx="1571128" cy="264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500934</xdr:colOff>
      <xdr:row>7</xdr:row>
      <xdr:rowOff>93116</xdr:rowOff>
    </xdr:from>
    <xdr:to>
      <xdr:col>6</xdr:col>
      <xdr:colOff>585196</xdr:colOff>
      <xdr:row>14</xdr:row>
      <xdr:rowOff>80192</xdr:rowOff>
    </xdr:to>
    <xdr:sp macro="" textlink="$AB$11">
      <xdr:nvSpPr>
        <xdr:cNvPr id="10" name="Rectangle: Rounded Corners 9">
          <a:extLst>
            <a:ext uri="{FF2B5EF4-FFF2-40B4-BE49-F238E27FC236}">
              <a16:creationId xmlns:a16="http://schemas.microsoft.com/office/drawing/2014/main" id="{A0E2A0D4-938B-4BBE-A9AC-A80CCEA3A1EC}"/>
            </a:ext>
          </a:extLst>
        </xdr:cNvPr>
        <xdr:cNvSpPr/>
      </xdr:nvSpPr>
      <xdr:spPr>
        <a:xfrm>
          <a:off x="1111032" y="1400469"/>
          <a:ext cx="3134752" cy="12944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rgbClr val="000000"/>
              </a:solidFill>
              <a:latin typeface="Calibri"/>
              <a:ea typeface="Calibri"/>
              <a:cs typeface="Calibri"/>
            </a:rPr>
            <a:t>Total</a:t>
          </a:r>
          <a:r>
            <a:rPr lang="en-US" sz="3200" b="0" i="0" u="none" strike="noStrike" baseline="0">
              <a:solidFill>
                <a:srgbClr val="000000"/>
              </a:solidFill>
              <a:latin typeface="Calibri"/>
              <a:ea typeface="Calibri"/>
              <a:cs typeface="Calibri"/>
            </a:rPr>
            <a:t> Sales</a:t>
          </a:r>
        </a:p>
        <a:p>
          <a:pPr algn="l"/>
          <a:fld id="{9CBAF4C6-2963-4297-8DA5-E9429F8CAF31}" type="TxLink">
            <a:rPr lang="en-US" sz="3200" b="0" i="0" u="none" strike="noStrike">
              <a:solidFill>
                <a:srgbClr val="000000"/>
              </a:solidFill>
              <a:latin typeface="Calibri"/>
              <a:ea typeface="Calibri"/>
              <a:cs typeface="Calibri"/>
            </a:rPr>
            <a:t> ₹ 12,39,42,294 </a:t>
          </a:fld>
          <a:endParaRPr lang="en-US" sz="3200"/>
        </a:p>
      </xdr:txBody>
    </xdr:sp>
    <xdr:clientData/>
  </xdr:twoCellAnchor>
  <xdr:twoCellAnchor>
    <xdr:from>
      <xdr:col>7</xdr:col>
      <xdr:colOff>260900</xdr:colOff>
      <xdr:row>7</xdr:row>
      <xdr:rowOff>89569</xdr:rowOff>
    </xdr:from>
    <xdr:to>
      <xdr:col>12</xdr:col>
      <xdr:colOff>105072</xdr:colOff>
      <xdr:row>14</xdr:row>
      <xdr:rowOff>68370</xdr:rowOff>
    </xdr:to>
    <xdr:sp macro="" textlink="$AB$14">
      <xdr:nvSpPr>
        <xdr:cNvPr id="11" name="Rectangle: Rounded Corners 10">
          <a:extLst>
            <a:ext uri="{FF2B5EF4-FFF2-40B4-BE49-F238E27FC236}">
              <a16:creationId xmlns:a16="http://schemas.microsoft.com/office/drawing/2014/main" id="{CE86CFED-147F-4F0C-89D9-75AF2C002A66}"/>
            </a:ext>
          </a:extLst>
        </xdr:cNvPr>
        <xdr:cNvSpPr/>
      </xdr:nvSpPr>
      <xdr:spPr>
        <a:xfrm>
          <a:off x="4531586" y="1396922"/>
          <a:ext cx="2894662" cy="12861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rgbClr val="000000"/>
              </a:solidFill>
              <a:latin typeface="Calibri"/>
              <a:ea typeface="Calibri"/>
              <a:cs typeface="Calibri"/>
            </a:rPr>
            <a:t>Total Cost</a:t>
          </a:r>
        </a:p>
        <a:p>
          <a:pPr algn="l"/>
          <a:fld id="{F8AE6F1D-ECC5-484F-B9AA-2B051D41F380}" type="TxLink">
            <a:rPr lang="en-US" sz="3200" b="0" i="0" u="none" strike="noStrike">
              <a:solidFill>
                <a:srgbClr val="000000"/>
              </a:solidFill>
              <a:latin typeface="Calibri"/>
              <a:ea typeface="Calibri"/>
              <a:cs typeface="Calibri"/>
            </a:rPr>
            <a:t> ₹ 9,24,97,859 </a:t>
          </a:fld>
          <a:endParaRPr lang="en-IN" sz="3200"/>
        </a:p>
      </xdr:txBody>
    </xdr:sp>
    <xdr:clientData/>
  </xdr:twoCellAnchor>
  <xdr:twoCellAnchor>
    <xdr:from>
      <xdr:col>12</xdr:col>
      <xdr:colOff>507357</xdr:colOff>
      <xdr:row>7</xdr:row>
      <xdr:rowOff>60901</xdr:rowOff>
    </xdr:from>
    <xdr:to>
      <xdr:col>17</xdr:col>
      <xdr:colOff>218430</xdr:colOff>
      <xdr:row>14</xdr:row>
      <xdr:rowOff>92011</xdr:rowOff>
    </xdr:to>
    <xdr:sp macro="" textlink="$AB$15">
      <xdr:nvSpPr>
        <xdr:cNvPr id="12" name="Rectangle: Rounded Corners 11">
          <a:extLst>
            <a:ext uri="{FF2B5EF4-FFF2-40B4-BE49-F238E27FC236}">
              <a16:creationId xmlns:a16="http://schemas.microsoft.com/office/drawing/2014/main" id="{EF3F82AE-6319-4A0F-85D8-D785D07209AF}"/>
            </a:ext>
          </a:extLst>
        </xdr:cNvPr>
        <xdr:cNvSpPr/>
      </xdr:nvSpPr>
      <xdr:spPr>
        <a:xfrm>
          <a:off x="7828533" y="1368254"/>
          <a:ext cx="2761564" cy="13384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rgbClr val="000000"/>
              </a:solidFill>
              <a:latin typeface="Calibri"/>
              <a:ea typeface="Calibri"/>
              <a:cs typeface="Calibri"/>
            </a:rPr>
            <a:t>Total Profit</a:t>
          </a:r>
        </a:p>
        <a:p>
          <a:pPr algn="l"/>
          <a:fld id="{810ECBA9-8025-422E-9EDE-7688D7ED3FCE}" type="TxLink">
            <a:rPr lang="en-US" sz="3200" b="0" i="0" u="none" strike="noStrike">
              <a:solidFill>
                <a:srgbClr val="000000"/>
              </a:solidFill>
              <a:latin typeface="Calibri"/>
              <a:ea typeface="Calibri"/>
              <a:cs typeface="Calibri"/>
            </a:rPr>
            <a:t> ₹ 3,14,44,435 </a:t>
          </a:fld>
          <a:endParaRPr lang="en-IN" sz="3200"/>
        </a:p>
      </xdr:txBody>
    </xdr:sp>
    <xdr:clientData/>
  </xdr:twoCellAnchor>
  <xdr:twoCellAnchor>
    <xdr:from>
      <xdr:col>18</xdr:col>
      <xdr:colOff>48825</xdr:colOff>
      <xdr:row>7</xdr:row>
      <xdr:rowOff>62256</xdr:rowOff>
    </xdr:from>
    <xdr:to>
      <xdr:col>22</xdr:col>
      <xdr:colOff>522940</xdr:colOff>
      <xdr:row>14</xdr:row>
      <xdr:rowOff>138669</xdr:rowOff>
    </xdr:to>
    <xdr:sp macro="" textlink="$AB$16">
      <xdr:nvSpPr>
        <xdr:cNvPr id="13" name="Rectangle: Rounded Corners 12">
          <a:extLst>
            <a:ext uri="{FF2B5EF4-FFF2-40B4-BE49-F238E27FC236}">
              <a16:creationId xmlns:a16="http://schemas.microsoft.com/office/drawing/2014/main" id="{42970C7C-300E-463E-A2D0-80DB9F6239D6}"/>
            </a:ext>
          </a:extLst>
        </xdr:cNvPr>
        <xdr:cNvSpPr/>
      </xdr:nvSpPr>
      <xdr:spPr>
        <a:xfrm>
          <a:off x="11030590" y="1369609"/>
          <a:ext cx="2914507" cy="1383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i="0" u="none" strike="noStrike">
              <a:solidFill>
                <a:srgbClr val="000000"/>
              </a:solidFill>
              <a:latin typeface="Calibri"/>
              <a:ea typeface="Calibri"/>
              <a:cs typeface="Calibri"/>
            </a:rPr>
            <a:t>Profit</a:t>
          </a:r>
          <a:r>
            <a:rPr lang="en-US" sz="3200" b="0" i="0" u="none" strike="noStrike" baseline="0">
              <a:solidFill>
                <a:srgbClr val="000000"/>
              </a:solidFill>
              <a:latin typeface="Calibri"/>
              <a:ea typeface="Calibri"/>
              <a:cs typeface="Calibri"/>
            </a:rPr>
            <a:t> Margin</a:t>
          </a:r>
        </a:p>
        <a:p>
          <a:pPr algn="l"/>
          <a:fld id="{91BE6465-0B6A-4445-91FD-52E817D99308}" type="TxLink">
            <a:rPr lang="en-US" sz="3200" b="0" i="0" u="none" strike="noStrike">
              <a:solidFill>
                <a:srgbClr val="000000"/>
              </a:solidFill>
              <a:latin typeface="Calibri"/>
              <a:ea typeface="Calibri"/>
              <a:cs typeface="Calibri"/>
            </a:rPr>
            <a:t>25%</a:t>
          </a:fld>
          <a:endParaRPr lang="en-IN"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ya Patel" refreshedDate="46089.00428587963" createdVersion="6" refreshedVersion="6" minRefreshableVersion="3" recordCount="501" xr:uid="{71088EAC-2BF5-48B5-9EFF-68AA6A9FC580}">
  <cacheSource type="worksheet">
    <worksheetSource ref="A1:M502" sheet="Sheet1"/>
  </cacheSource>
  <cacheFields count="13">
    <cacheField name="Order ID" numFmtId="0">
      <sharedItems containsMixedTypes="1" containsNumber="1" containsInteger="1" minValue="2000" maxValue="2499" count="501">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s v="Profit Margin"/>
      </sharedItems>
    </cacheField>
    <cacheField name="Order Date" numFmtId="0">
      <sharedItems containsNonDate="0" containsDate="1" containsString="0" containsBlank="1" minDate="2024-01-01T00:00:00" maxDate="2025-01-01T00:00:00" count="266">
        <d v="2024-11-29T00:00:00"/>
        <d v="2024-01-30T00:00:00"/>
        <d v="2024-05-03T00:00:00"/>
        <d v="2024-11-18T00:00:00"/>
        <d v="2024-01-24T00:00:00"/>
        <d v="2024-10-19T00:00:00"/>
        <d v="2024-07-09T00:00:00"/>
        <d v="2024-04-15T00:00:00"/>
        <d v="2024-08-20T00:00:00"/>
        <d v="2024-02-11T00:00:00"/>
        <d v="2024-05-27T00:00:00"/>
        <d v="2024-03-18T00:00:00"/>
        <d v="2024-10-20T00:00:00"/>
        <d v="2024-08-21T00:00:00"/>
        <d v="2024-02-03T00:00:00"/>
        <d v="2024-07-16T00:00:00"/>
        <d v="2024-02-29T00:00:00"/>
        <d v="2024-05-06T00:00:00"/>
        <d v="2024-08-17T00:00:00"/>
        <d v="2024-05-22T00:00:00"/>
        <d v="2024-02-12T00:00:00"/>
        <d v="2024-10-28T00:00:00"/>
        <d v="2024-07-08T00:00:00"/>
        <d v="2024-12-12T00:00:00"/>
        <d v="2024-07-23T00:00:00"/>
        <d v="2024-02-04T00:00:00"/>
        <d v="2024-02-22T00:00:00"/>
        <d v="2024-02-06T00:00:00"/>
        <d v="2024-07-05T00:00:00"/>
        <d v="2024-09-04T00:00:00"/>
        <d v="2024-09-02T00:00:00"/>
        <d v="2024-12-19T00:00:00"/>
        <d v="2024-12-22T00:00:00"/>
        <d v="2024-09-29T00:00:00"/>
        <d v="2024-05-02T00:00:00"/>
        <d v="2024-01-15T00:00:00"/>
        <d v="2024-06-25T00:00:00"/>
        <d v="2024-11-08T00:00:00"/>
        <d v="2024-02-13T00:00:00"/>
        <d v="2024-08-10T00:00:00"/>
        <d v="2024-08-26T00:00:00"/>
        <d v="2024-10-07T00:00:00"/>
        <d v="2024-03-12T00:00:00"/>
        <d v="2024-04-18T00:00:00"/>
        <d v="2024-10-05T00:00:00"/>
        <d v="2024-10-25T00:00:00"/>
        <d v="2024-11-07T00:00:00"/>
        <d v="2024-03-02T00:00:00"/>
        <d v="2024-09-16T00:00:00"/>
        <d v="2024-11-09T00:00:00"/>
        <d v="2024-09-30T00:00:00"/>
        <d v="2024-04-13T00:00:00"/>
        <d v="2024-02-07T00:00:00"/>
        <d v="2024-03-20T00:00:00"/>
        <d v="2024-02-18T00:00:00"/>
        <d v="2024-08-08T00:00:00"/>
        <d v="2024-02-17T00:00:00"/>
        <d v="2024-01-10T00:00:00"/>
        <d v="2024-02-27T00:00:00"/>
        <d v="2024-05-18T00:00:00"/>
        <d v="2024-10-01T00:00:00"/>
        <d v="2024-12-18T00:00:00"/>
        <d v="2024-02-15T00:00:00"/>
        <d v="2024-03-03T00:00:00"/>
        <d v="2024-11-14T00:00:00"/>
        <d v="2024-05-14T00:00:00"/>
        <d v="2024-09-28T00:00:00"/>
        <d v="2024-09-20T00:00:00"/>
        <d v="2024-08-09T00:00:00"/>
        <d v="2024-01-28T00:00:00"/>
        <d v="2024-01-29T00:00:00"/>
        <d v="2024-12-20T00:00:00"/>
        <d v="2024-01-02T00:00:00"/>
        <d v="2024-01-18T00:00:00"/>
        <d v="2024-01-03T00:00:00"/>
        <d v="2024-01-22T00:00:00"/>
        <d v="2024-09-27T00:00:00"/>
        <d v="2024-11-12T00:00:00"/>
        <d v="2024-12-24T00:00:00"/>
        <d v="2024-12-17T00:00:00"/>
        <d v="2024-07-03T00:00:00"/>
        <d v="2024-09-14T00:00:00"/>
        <d v="2024-08-30T00:00:00"/>
        <d v="2024-04-28T00:00:00"/>
        <d v="2024-12-10T00:00:00"/>
        <d v="2024-05-26T00:00:00"/>
        <d v="2024-06-08T00:00:00"/>
        <d v="2024-08-18T00:00:00"/>
        <d v="2024-02-16T00:00:00"/>
        <d v="2024-11-19T00:00:00"/>
        <d v="2024-09-05T00:00:00"/>
        <d v="2024-07-26T00:00:00"/>
        <d v="2024-06-18T00:00:00"/>
        <d v="2024-12-31T00:00:00"/>
        <d v="2024-05-23T00:00:00"/>
        <d v="2024-05-07T00:00:00"/>
        <d v="2024-08-07T00:00:00"/>
        <d v="2024-06-01T00:00:00"/>
        <d v="2024-10-12T00:00:00"/>
        <d v="2024-09-13T00:00:00"/>
        <d v="2024-08-06T00:00:00"/>
        <d v="2024-10-11T00:00:00"/>
        <d v="2024-03-06T00:00:00"/>
        <d v="2024-01-01T00:00:00"/>
        <d v="2024-02-25T00:00:00"/>
        <d v="2024-04-29T00:00:00"/>
        <d v="2024-05-08T00:00:00"/>
        <d v="2024-06-02T00:00:00"/>
        <d v="2024-11-26T00:00:00"/>
        <d v="2024-07-29T00:00:00"/>
        <d v="2024-08-03T00:00:00"/>
        <d v="2024-09-09T00:00:00"/>
        <d v="2024-04-11T00:00:00"/>
        <d v="2024-09-10T00:00:00"/>
        <d v="2024-04-23T00:00:00"/>
        <d v="2024-04-05T00:00:00"/>
        <d v="2024-07-20T00:00:00"/>
        <d v="2024-01-27T00:00:00"/>
        <d v="2024-02-10T00:00:00"/>
        <d v="2024-01-17T00:00:00"/>
        <d v="2024-10-14T00:00:00"/>
        <d v="2024-02-14T00:00:00"/>
        <d v="2024-06-14T00:00:00"/>
        <d v="2024-05-11T00:00:00"/>
        <d v="2024-06-20T00:00:00"/>
        <d v="2024-04-03T00:00:00"/>
        <d v="2024-06-16T00:00:00"/>
        <d v="2024-09-03T00:00:00"/>
        <d v="2024-05-15T00:00:00"/>
        <d v="2024-08-16T00:00:00"/>
        <d v="2024-04-30T00:00:00"/>
        <d v="2024-10-17T00:00:00"/>
        <d v="2024-01-26T00:00:00"/>
        <d v="2024-11-01T00:00:00"/>
        <d v="2024-01-23T00:00:00"/>
        <d v="2024-12-05T00:00:00"/>
        <d v="2024-07-22T00:00:00"/>
        <d v="2024-11-25T00:00:00"/>
        <d v="2024-03-21T00:00:00"/>
        <d v="2024-08-23T00:00:00"/>
        <d v="2024-05-25T00:00:00"/>
        <d v="2024-09-08T00:00:00"/>
        <d v="2024-11-23T00:00:00"/>
        <d v="2024-07-02T00:00:00"/>
        <d v="2024-11-17T00:00:00"/>
        <d v="2024-12-03T00:00:00"/>
        <d v="2024-04-01T00:00:00"/>
        <d v="2024-07-06T00:00:00"/>
        <d v="2024-03-07T00:00:00"/>
        <d v="2024-09-15T00:00:00"/>
        <d v="2024-03-22T00:00:00"/>
        <d v="2024-06-12T00:00:00"/>
        <d v="2024-01-25T00:00:00"/>
        <d v="2024-05-09T00:00:00"/>
        <d v="2024-07-07T00:00:00"/>
        <d v="2024-03-31T00:00:00"/>
        <d v="2024-05-28T00:00:00"/>
        <d v="2024-09-07T00:00:00"/>
        <d v="2024-06-04T00:00:00"/>
        <d v="2024-06-03T00:00:00"/>
        <d v="2024-01-06T00:00:00"/>
        <d v="2024-09-22T00:00:00"/>
        <d v="2024-01-07T00:00:00"/>
        <d v="2024-02-02T00:00:00"/>
        <d v="2024-01-04T00:00:00"/>
        <d v="2024-12-01T00:00:00"/>
        <d v="2024-05-16T00:00:00"/>
        <d v="2024-11-24T00:00:00"/>
        <d v="2024-06-17T00:00:00"/>
        <d v="2024-01-14T00:00:00"/>
        <d v="2024-12-30T00:00:00"/>
        <d v="2024-04-14T00:00:00"/>
        <d v="2024-01-16T00:00:00"/>
        <d v="2024-03-28T00:00:00"/>
        <d v="2024-06-26T00:00:00"/>
        <d v="2024-10-06T00:00:00"/>
        <d v="2024-10-23T00:00:00"/>
        <d v="2024-11-04T00:00:00"/>
        <d v="2024-07-17T00:00:00"/>
        <d v="2024-10-27T00:00:00"/>
        <d v="2024-12-13T00:00:00"/>
        <d v="2024-02-21T00:00:00"/>
        <d v="2024-04-04T00:00:00"/>
        <d v="2024-07-01T00:00:00"/>
        <d v="2024-02-08T00:00:00"/>
        <d v="2024-08-24T00:00:00"/>
        <d v="2024-04-08T00:00:00"/>
        <d v="2024-08-28T00:00:00"/>
        <d v="2024-10-16T00:00:00"/>
        <d v="2024-01-08T00:00:00"/>
        <d v="2024-08-12T00:00:00"/>
        <d v="2024-08-27T00:00:00"/>
        <d v="2024-08-02T00:00:00"/>
        <d v="2024-05-29T00:00:00"/>
        <d v="2024-01-31T00:00:00"/>
        <d v="2024-10-31T00:00:00"/>
        <d v="2024-01-05T00:00:00"/>
        <d v="2024-03-25T00:00:00"/>
        <d v="2024-03-24T00:00:00"/>
        <d v="2024-06-19T00:00:00"/>
        <d v="2024-12-16T00:00:00"/>
        <d v="2024-06-13T00:00:00"/>
        <d v="2024-04-12T00:00:00"/>
        <d v="2024-09-24T00:00:00"/>
        <d v="2024-10-15T00:00:00"/>
        <d v="2024-04-02T00:00:00"/>
        <d v="2024-12-27T00:00:00"/>
        <d v="2024-05-12T00:00:00"/>
        <d v="2024-08-13T00:00:00"/>
        <d v="2024-04-09T00:00:00"/>
        <d v="2024-07-10T00:00:00"/>
        <d v="2024-09-01T00:00:00"/>
        <d v="2024-02-28T00:00:00"/>
        <d v="2024-05-30T00:00:00"/>
        <d v="2024-04-10T00:00:00"/>
        <d v="2024-05-20T00:00:00"/>
        <d v="2024-07-28T00:00:00"/>
        <d v="2024-03-09T00:00:00"/>
        <d v="2024-03-26T00:00:00"/>
        <d v="2024-12-23T00:00:00"/>
        <d v="2024-08-25T00:00:00"/>
        <d v="2024-04-26T00:00:00"/>
        <d v="2024-09-26T00:00:00"/>
        <d v="2024-06-22T00:00:00"/>
        <d v="2024-06-15T00:00:00"/>
        <d v="2024-11-13T00:00:00"/>
        <d v="2024-03-04T00:00:00"/>
        <d v="2024-10-26T00:00:00"/>
        <d v="2024-12-08T00:00:00"/>
        <d v="2024-07-15T00:00:00"/>
        <d v="2024-07-12T00:00:00"/>
        <d v="2024-05-04T00:00:00"/>
        <d v="2024-10-02T00:00:00"/>
        <d v="2024-08-19T00:00:00"/>
        <d v="2024-06-11T00:00:00"/>
        <d v="2024-07-30T00:00:00"/>
        <d v="2024-10-18T00:00:00"/>
        <d v="2024-02-24T00:00:00"/>
        <d v="2024-05-01T00:00:00"/>
        <d v="2024-06-10T00:00:00"/>
        <d v="2024-06-07T00:00:00"/>
        <d v="2024-07-04T00:00:00"/>
        <d v="2024-07-11T00:00:00"/>
        <d v="2024-03-05T00:00:00"/>
        <d v="2024-12-21T00:00:00"/>
        <d v="2024-06-29T00:00:00"/>
        <d v="2024-04-22T00:00:00"/>
        <d v="2024-11-22T00:00:00"/>
        <d v="2024-12-09T00:00:00"/>
        <d v="2024-04-17T00:00:00"/>
        <d v="2024-09-19T00:00:00"/>
        <d v="2024-05-13T00:00:00"/>
        <d v="2024-11-21T00:00:00"/>
        <d v="2024-06-28T00:00:00"/>
        <d v="2024-03-23T00:00:00"/>
        <d v="2024-04-07T00:00:00"/>
        <d v="2024-09-12T00:00:00"/>
        <d v="2024-12-02T00:00:00"/>
        <d v="2024-04-06T00:00:00"/>
        <d v="2024-07-21T00:00:00"/>
        <d v="2024-06-23T00:00:00"/>
        <d v="2024-09-25T00:00:00"/>
        <d v="2024-01-13T00:00:00"/>
        <d v="2024-01-19T00:00:00"/>
        <d v="2024-03-15T00:00:00"/>
        <m/>
      </sharedItems>
    </cacheField>
    <cacheField name="City" numFmtId="0">
      <sharedItems containsBlank="1"/>
    </cacheField>
    <cacheField name="Category" numFmtId="0">
      <sharedItems containsBlank="1"/>
    </cacheField>
    <cacheField name="Product" numFmtId="0">
      <sharedItems containsBlank="1"/>
    </cacheField>
    <cacheField name="Material" numFmtId="0">
      <sharedItems containsBlank="1"/>
    </cacheField>
    <cacheField name="Salesperson" numFmtId="0">
      <sharedItems containsBlank="1"/>
    </cacheField>
    <cacheField name="Quantity" numFmtId="0">
      <sharedItems containsString="0" containsBlank="1" containsNumber="1" containsInteger="1" minValue="1" maxValue="5"/>
    </cacheField>
    <cacheField name="Unit Price" numFmtId="165">
      <sharedItems containsString="0" containsBlank="1" containsNumber="1" containsInteger="1" minValue="8170" maxValue="79833"/>
    </cacheField>
    <cacheField name="Sales" numFmtId="165">
      <sharedItems containsSemiMixedTypes="0" containsString="0" containsNumber="1" containsInteger="1" minValue="10746" maxValue="61971147"/>
    </cacheField>
    <cacheField name="Cost" numFmtId="165">
      <sharedItems containsSemiMixedTypes="0" containsString="0" containsNumber="1" minValue="7930.24" maxValue="46248929.639999971"/>
    </cacheField>
    <cacheField name="Profit" numFmtId="165">
      <sharedItems containsSemiMixedTypes="0" containsString="0" containsNumber="1" minValue="2204.25" maxValue="15722217.35999999"/>
    </cacheField>
    <cacheField name="Profit Margin" numFmtId="10">
      <sharedItems containsString="0" containsBlank="1" containsNumber="1" minValue="0.150546370890764" maxValue="0.34946098143982002"/>
    </cacheField>
  </cacheFields>
  <extLst>
    <ext xmlns:x14="http://schemas.microsoft.com/office/spreadsheetml/2009/9/main" uri="{725AE2AE-9491-48be-B2B4-4EB974FC3084}">
      <x14:pivotCacheDefinition pivotCacheId="1234413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ya Patel" refreshedDate="46092.787267708336" createdVersion="6" refreshedVersion="6" minRefreshableVersion="3" recordCount="500" xr:uid="{D252194F-81CD-418A-835F-282E854C72F4}">
  <cacheSource type="worksheet">
    <worksheetSource name="Sheet1!$A$1:$K$501"/>
  </cacheSource>
  <cacheFields count="11">
    <cacheField name="Order ID" numFmtId="0">
      <sharedItems containsSemiMixedTypes="0" containsString="0" containsNumber="1" containsInteger="1" minValue="2000" maxValue="2499"/>
    </cacheField>
    <cacheField name="Order Date" numFmtId="164">
      <sharedItems containsSemiMixedTypes="0" containsNonDate="0" containsDate="1" containsString="0" minDate="2024-01-01T00:00:00" maxDate="2025-01-01T00:00:00"/>
    </cacheField>
    <cacheField name="City" numFmtId="0">
      <sharedItems count="7">
        <s v="Mumbai"/>
        <s v="Ahmedabad"/>
        <s v="Delhi"/>
        <s v="Surat"/>
        <s v="Jaipur"/>
        <s v="Pune"/>
        <s v="Bangalore"/>
      </sharedItems>
    </cacheField>
    <cacheField name="Category" numFmtId="0">
      <sharedItems/>
    </cacheField>
    <cacheField name="Product" numFmtId="0">
      <sharedItems/>
    </cacheField>
    <cacheField name="Material" numFmtId="0">
      <sharedItems/>
    </cacheField>
    <cacheField name="Salesperson" numFmtId="0">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containsInteger="1" minValue="8170" maxValue="79833"/>
    </cacheField>
    <cacheField name="Sales" numFmtId="165">
      <sharedItems containsSemiMixedTypes="0" containsString="0" containsNumber="1" containsInteger="1" minValue="10746" maxValue="396915"/>
    </cacheField>
    <cacheField name="Cost" numFmtId="165">
      <sharedItems containsSemiMixedTypes="0" containsString="0" containsNumber="1" minValue="7930.24" maxValue="306069.9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ya Patel" refreshedDate="46092.789838425924" createdVersion="6" refreshedVersion="6" minRefreshableVersion="3" recordCount="500" xr:uid="{9030E1AC-A1A2-4781-B3D7-5B0C61C1CD59}">
  <cacheSource type="worksheet">
    <worksheetSource ref="A1:M501" sheet="Sheet1"/>
  </cacheSource>
  <cacheFields count="14">
    <cacheField name="Order ID" numFmtId="0">
      <sharedItems containsSemiMixedTypes="0" containsString="0" containsNumber="1" containsInteger="1" minValue="2000" maxValue="2499"/>
    </cacheField>
    <cacheField name="Order Date" numFmtId="164">
      <sharedItems containsSemiMixedTypes="0" containsNonDate="0" containsDate="1" containsString="0" minDate="2024-01-01T00:00:00" maxDate="2025-01-01T00:00:00" count="265">
        <d v="2024-11-29T00:00:00"/>
        <d v="2024-01-30T00:00:00"/>
        <d v="2024-05-03T00:00:00"/>
        <d v="2024-11-18T00:00:00"/>
        <d v="2024-01-24T00:00:00"/>
        <d v="2024-10-19T00:00:00"/>
        <d v="2024-07-09T00:00:00"/>
        <d v="2024-04-15T00:00:00"/>
        <d v="2024-08-20T00:00:00"/>
        <d v="2024-02-11T00:00:00"/>
        <d v="2024-05-27T00:00:00"/>
        <d v="2024-03-18T00:00:00"/>
        <d v="2024-10-20T00:00:00"/>
        <d v="2024-08-21T00:00:00"/>
        <d v="2024-02-03T00:00:00"/>
        <d v="2024-07-16T00:00:00"/>
        <d v="2024-02-29T00:00:00"/>
        <d v="2024-05-06T00:00:00"/>
        <d v="2024-08-17T00:00:00"/>
        <d v="2024-05-22T00:00:00"/>
        <d v="2024-02-12T00:00:00"/>
        <d v="2024-10-28T00:00:00"/>
        <d v="2024-07-08T00:00:00"/>
        <d v="2024-12-12T00:00:00"/>
        <d v="2024-07-23T00:00:00"/>
        <d v="2024-02-04T00:00:00"/>
        <d v="2024-02-22T00:00:00"/>
        <d v="2024-02-06T00:00:00"/>
        <d v="2024-07-05T00:00:00"/>
        <d v="2024-09-04T00:00:00"/>
        <d v="2024-09-02T00:00:00"/>
        <d v="2024-12-19T00:00:00"/>
        <d v="2024-12-22T00:00:00"/>
        <d v="2024-09-29T00:00:00"/>
        <d v="2024-05-02T00:00:00"/>
        <d v="2024-01-15T00:00:00"/>
        <d v="2024-06-25T00:00:00"/>
        <d v="2024-11-08T00:00:00"/>
        <d v="2024-02-13T00:00:00"/>
        <d v="2024-08-10T00:00:00"/>
        <d v="2024-08-26T00:00:00"/>
        <d v="2024-10-07T00:00:00"/>
        <d v="2024-03-12T00:00:00"/>
        <d v="2024-04-18T00:00:00"/>
        <d v="2024-10-05T00:00:00"/>
        <d v="2024-10-25T00:00:00"/>
        <d v="2024-11-07T00:00:00"/>
        <d v="2024-03-02T00:00:00"/>
        <d v="2024-09-16T00:00:00"/>
        <d v="2024-11-09T00:00:00"/>
        <d v="2024-09-30T00:00:00"/>
        <d v="2024-04-13T00:00:00"/>
        <d v="2024-02-07T00:00:00"/>
        <d v="2024-03-20T00:00:00"/>
        <d v="2024-02-18T00:00:00"/>
        <d v="2024-08-08T00:00:00"/>
        <d v="2024-02-17T00:00:00"/>
        <d v="2024-01-10T00:00:00"/>
        <d v="2024-02-27T00:00:00"/>
        <d v="2024-05-18T00:00:00"/>
        <d v="2024-10-01T00:00:00"/>
        <d v="2024-12-18T00:00:00"/>
        <d v="2024-02-15T00:00:00"/>
        <d v="2024-03-03T00:00:00"/>
        <d v="2024-11-14T00:00:00"/>
        <d v="2024-05-14T00:00:00"/>
        <d v="2024-09-28T00:00:00"/>
        <d v="2024-09-20T00:00:00"/>
        <d v="2024-08-09T00:00:00"/>
        <d v="2024-01-28T00:00:00"/>
        <d v="2024-01-29T00:00:00"/>
        <d v="2024-12-20T00:00:00"/>
        <d v="2024-01-02T00:00:00"/>
        <d v="2024-01-18T00:00:00"/>
        <d v="2024-01-03T00:00:00"/>
        <d v="2024-01-22T00:00:00"/>
        <d v="2024-09-27T00:00:00"/>
        <d v="2024-11-12T00:00:00"/>
        <d v="2024-12-24T00:00:00"/>
        <d v="2024-12-17T00:00:00"/>
        <d v="2024-07-03T00:00:00"/>
        <d v="2024-09-14T00:00:00"/>
        <d v="2024-08-30T00:00:00"/>
        <d v="2024-04-28T00:00:00"/>
        <d v="2024-12-10T00:00:00"/>
        <d v="2024-05-26T00:00:00"/>
        <d v="2024-06-08T00:00:00"/>
        <d v="2024-08-18T00:00:00"/>
        <d v="2024-02-16T00:00:00"/>
        <d v="2024-11-19T00:00:00"/>
        <d v="2024-09-05T00:00:00"/>
        <d v="2024-07-26T00:00:00"/>
        <d v="2024-06-18T00:00:00"/>
        <d v="2024-12-31T00:00:00"/>
        <d v="2024-05-23T00:00:00"/>
        <d v="2024-05-07T00:00:00"/>
        <d v="2024-08-07T00:00:00"/>
        <d v="2024-06-01T00:00:00"/>
        <d v="2024-10-12T00:00:00"/>
        <d v="2024-09-13T00:00:00"/>
        <d v="2024-08-06T00:00:00"/>
        <d v="2024-10-11T00:00:00"/>
        <d v="2024-03-06T00:00:00"/>
        <d v="2024-01-01T00:00:00"/>
        <d v="2024-02-25T00:00:00"/>
        <d v="2024-04-29T00:00:00"/>
        <d v="2024-05-08T00:00:00"/>
        <d v="2024-06-02T00:00:00"/>
        <d v="2024-11-26T00:00:00"/>
        <d v="2024-07-29T00:00:00"/>
        <d v="2024-08-03T00:00:00"/>
        <d v="2024-09-09T00:00:00"/>
        <d v="2024-04-11T00:00:00"/>
        <d v="2024-09-10T00:00:00"/>
        <d v="2024-04-23T00:00:00"/>
        <d v="2024-04-05T00:00:00"/>
        <d v="2024-07-20T00:00:00"/>
        <d v="2024-01-27T00:00:00"/>
        <d v="2024-02-10T00:00:00"/>
        <d v="2024-01-17T00:00:00"/>
        <d v="2024-10-14T00:00:00"/>
        <d v="2024-02-14T00:00:00"/>
        <d v="2024-06-14T00:00:00"/>
        <d v="2024-05-11T00:00:00"/>
        <d v="2024-06-20T00:00:00"/>
        <d v="2024-04-03T00:00:00"/>
        <d v="2024-06-16T00:00:00"/>
        <d v="2024-09-03T00:00:00"/>
        <d v="2024-05-15T00:00:00"/>
        <d v="2024-08-16T00:00:00"/>
        <d v="2024-04-30T00:00:00"/>
        <d v="2024-10-17T00:00:00"/>
        <d v="2024-01-26T00:00:00"/>
        <d v="2024-11-01T00:00:00"/>
        <d v="2024-01-23T00:00:00"/>
        <d v="2024-12-05T00:00:00"/>
        <d v="2024-07-22T00:00:00"/>
        <d v="2024-11-25T00:00:00"/>
        <d v="2024-03-21T00:00:00"/>
        <d v="2024-08-23T00:00:00"/>
        <d v="2024-05-25T00:00:00"/>
        <d v="2024-09-08T00:00:00"/>
        <d v="2024-11-23T00:00:00"/>
        <d v="2024-07-02T00:00:00"/>
        <d v="2024-11-17T00:00:00"/>
        <d v="2024-12-03T00:00:00"/>
        <d v="2024-04-01T00:00:00"/>
        <d v="2024-07-06T00:00:00"/>
        <d v="2024-03-07T00:00:00"/>
        <d v="2024-09-15T00:00:00"/>
        <d v="2024-03-22T00:00:00"/>
        <d v="2024-06-12T00:00:00"/>
        <d v="2024-01-25T00:00:00"/>
        <d v="2024-05-09T00:00:00"/>
        <d v="2024-07-07T00:00:00"/>
        <d v="2024-03-31T00:00:00"/>
        <d v="2024-05-28T00:00:00"/>
        <d v="2024-09-07T00:00:00"/>
        <d v="2024-06-04T00:00:00"/>
        <d v="2024-06-03T00:00:00"/>
        <d v="2024-01-06T00:00:00"/>
        <d v="2024-09-22T00:00:00"/>
        <d v="2024-01-07T00:00:00"/>
        <d v="2024-02-02T00:00:00"/>
        <d v="2024-01-04T00:00:00"/>
        <d v="2024-12-01T00:00:00"/>
        <d v="2024-05-16T00:00:00"/>
        <d v="2024-11-24T00:00:00"/>
        <d v="2024-06-17T00:00:00"/>
        <d v="2024-01-14T00:00:00"/>
        <d v="2024-12-30T00:00:00"/>
        <d v="2024-04-14T00:00:00"/>
        <d v="2024-01-16T00:00:00"/>
        <d v="2024-03-28T00:00:00"/>
        <d v="2024-06-26T00:00:00"/>
        <d v="2024-10-06T00:00:00"/>
        <d v="2024-10-23T00:00:00"/>
        <d v="2024-11-04T00:00:00"/>
        <d v="2024-07-17T00:00:00"/>
        <d v="2024-10-27T00:00:00"/>
        <d v="2024-12-13T00:00:00"/>
        <d v="2024-02-21T00:00:00"/>
        <d v="2024-04-04T00:00:00"/>
        <d v="2024-07-01T00:00:00"/>
        <d v="2024-02-08T00:00:00"/>
        <d v="2024-08-24T00:00:00"/>
        <d v="2024-04-08T00:00:00"/>
        <d v="2024-08-28T00:00:00"/>
        <d v="2024-10-16T00:00:00"/>
        <d v="2024-01-08T00:00:00"/>
        <d v="2024-08-12T00:00:00"/>
        <d v="2024-08-27T00:00:00"/>
        <d v="2024-08-02T00:00:00"/>
        <d v="2024-05-29T00:00:00"/>
        <d v="2024-01-31T00:00:00"/>
        <d v="2024-10-31T00:00:00"/>
        <d v="2024-01-05T00:00:00"/>
        <d v="2024-03-25T00:00:00"/>
        <d v="2024-03-24T00:00:00"/>
        <d v="2024-06-19T00:00:00"/>
        <d v="2024-12-16T00:00:00"/>
        <d v="2024-06-13T00:00:00"/>
        <d v="2024-04-12T00:00:00"/>
        <d v="2024-09-24T00:00:00"/>
        <d v="2024-10-15T00:00:00"/>
        <d v="2024-04-02T00:00:00"/>
        <d v="2024-12-27T00:00:00"/>
        <d v="2024-05-12T00:00:00"/>
        <d v="2024-08-13T00:00:00"/>
        <d v="2024-04-09T00:00:00"/>
        <d v="2024-07-10T00:00:00"/>
        <d v="2024-09-01T00:00:00"/>
        <d v="2024-02-28T00:00:00"/>
        <d v="2024-05-30T00:00:00"/>
        <d v="2024-04-10T00:00:00"/>
        <d v="2024-05-20T00:00:00"/>
        <d v="2024-07-28T00:00:00"/>
        <d v="2024-03-09T00:00:00"/>
        <d v="2024-03-26T00:00:00"/>
        <d v="2024-12-23T00:00:00"/>
        <d v="2024-08-25T00:00:00"/>
        <d v="2024-04-26T00:00:00"/>
        <d v="2024-09-26T00:00:00"/>
        <d v="2024-06-22T00:00:00"/>
        <d v="2024-06-15T00:00:00"/>
        <d v="2024-11-13T00:00:00"/>
        <d v="2024-03-04T00:00:00"/>
        <d v="2024-10-26T00:00:00"/>
        <d v="2024-12-08T00:00:00"/>
        <d v="2024-07-15T00:00:00"/>
        <d v="2024-07-12T00:00:00"/>
        <d v="2024-05-04T00:00:00"/>
        <d v="2024-10-02T00:00:00"/>
        <d v="2024-08-19T00:00:00"/>
        <d v="2024-06-11T00:00:00"/>
        <d v="2024-07-30T00:00:00"/>
        <d v="2024-10-18T00:00:00"/>
        <d v="2024-02-24T00:00:00"/>
        <d v="2024-05-01T00:00:00"/>
        <d v="2024-06-10T00:00:00"/>
        <d v="2024-06-07T00:00:00"/>
        <d v="2024-07-04T00:00:00"/>
        <d v="2024-07-11T00:00:00"/>
        <d v="2024-03-05T00:00:00"/>
        <d v="2024-12-21T00:00:00"/>
        <d v="2024-06-29T00:00:00"/>
        <d v="2024-04-22T00:00:00"/>
        <d v="2024-11-22T00:00:00"/>
        <d v="2024-12-09T00:00:00"/>
        <d v="2024-04-17T00:00:00"/>
        <d v="2024-09-19T00:00:00"/>
        <d v="2024-05-13T00:00:00"/>
        <d v="2024-11-21T00:00:00"/>
        <d v="2024-06-28T00:00:00"/>
        <d v="2024-03-23T00:00:00"/>
        <d v="2024-04-07T00:00:00"/>
        <d v="2024-09-12T00:00:00"/>
        <d v="2024-12-02T00:00:00"/>
        <d v="2024-04-06T00:00:00"/>
        <d v="2024-07-21T00:00:00"/>
        <d v="2024-06-23T00:00:00"/>
        <d v="2024-09-25T00:00:00"/>
        <d v="2024-01-13T00:00:00"/>
        <d v="2024-01-19T00:00:00"/>
        <d v="2024-03-15T00:00:00"/>
      </sharedItems>
      <fieldGroup par="13" base="1">
        <rangePr groupBy="months" startDate="2024-01-01T00:00:00" endDate="2025-01-01T00:00:00"/>
        <groupItems count="14">
          <s v="&lt;01-01-2024"/>
          <s v="Jan"/>
          <s v="Feb"/>
          <s v="Mar"/>
          <s v="Apr"/>
          <s v="May"/>
          <s v="Jun"/>
          <s v="Jul"/>
          <s v="Aug"/>
          <s v="Sep"/>
          <s v="Oct"/>
          <s v="Nov"/>
          <s v="Dec"/>
          <s v="&gt;01-01-2025"/>
        </groupItems>
      </fieldGroup>
    </cacheField>
    <cacheField name="City" numFmtId="0">
      <sharedItems count="7">
        <s v="Mumbai"/>
        <s v="Ahmedabad"/>
        <s v="Delhi"/>
        <s v="Surat"/>
        <s v="Jaipur"/>
        <s v="Pune"/>
        <s v="Bangalore"/>
      </sharedItems>
    </cacheField>
    <cacheField name="Category" numFmtId="0">
      <sharedItems count="6">
        <s v="Earrings"/>
        <s v="Rings"/>
        <s v="Bracelets"/>
        <s v="Anklets"/>
        <s v="Necklaces"/>
        <s v="Pendants"/>
      </sharedItems>
    </cacheField>
    <cacheField name="Product" numFmtId="0">
      <sharedItems count="10">
        <s v="Diamond Earrings"/>
        <s v="Diamond Ring"/>
        <s v="Bracelet"/>
        <s v="Anklet"/>
        <s v="Gold Necklace"/>
        <s v="Bangle"/>
        <s v="Gold Earrings"/>
        <s v="Diamond Necklace"/>
        <s v="Pendant"/>
        <s v="Gold Ring"/>
      </sharedItems>
    </cacheField>
    <cacheField name="Material" numFmtId="0">
      <sharedItems count="3">
        <s v="Diamond"/>
        <s v="Gold"/>
        <s v="Silver"/>
      </sharedItems>
    </cacheField>
    <cacheField name="Salesperson" numFmtId="0">
      <sharedItems count="6">
        <s v="Meera"/>
        <s v="Arjun"/>
        <s v="Aisha"/>
        <s v="Rohan"/>
        <s v="Karan"/>
        <s v="Nisha"/>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containsInteger="1" minValue="8170" maxValue="79833"/>
    </cacheField>
    <cacheField name="Sales" numFmtId="165">
      <sharedItems containsSemiMixedTypes="0" containsString="0" containsNumber="1" containsInteger="1" minValue="10746" maxValue="396915"/>
    </cacheField>
    <cacheField name="Cost" numFmtId="165">
      <sharedItems containsSemiMixedTypes="0" containsString="0" containsNumber="1" minValue="7930.24" maxValue="306069.94"/>
    </cacheField>
    <cacheField name="Profit" numFmtId="165">
      <sharedItems containsSemiMixedTypes="0" containsString="0" containsNumber="1" minValue="2204.25" maxValue="129705.17"/>
    </cacheField>
    <cacheField name="Profit Margin" numFmtId="10">
      <sharedItems containsSemiMixedTypes="0" containsString="0" containsNumber="1" minValue="0.150546370890764" maxValue="0.34946098143982002"/>
    </cacheField>
    <cacheField name="Years" numFmtId="0" databaseField="0">
      <fieldGroup base="1">
        <rangePr groupBy="years" startDate="2024-01-01T00:00:00" endDate="2025-01-01T00:00:00"/>
        <groupItems count="4">
          <s v="&lt;01-01-2024"/>
          <s v="2024"/>
          <s v="2025"/>
          <s v="&gt;01-01-2025"/>
        </groupItems>
      </fieldGroup>
    </cacheField>
  </cacheFields>
  <extLst>
    <ext xmlns:x14="http://schemas.microsoft.com/office/spreadsheetml/2009/9/main" uri="{725AE2AE-9491-48be-B2B4-4EB974FC3084}">
      <x14:pivotCacheDefinition pivotCacheId="1598193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x v="0"/>
    <s v="Mumbai"/>
    <s v="Earrings"/>
    <s v="Diamond Earrings"/>
    <s v="Diamond"/>
    <s v="Meera"/>
    <n v="1"/>
    <n v="17494"/>
    <n v="17494"/>
    <n v="14244.57"/>
    <n v="3249.43"/>
    <n v="0.18574539842231622"/>
  </r>
  <r>
    <x v="1"/>
    <x v="1"/>
    <s v="Ahmedabad"/>
    <s v="Rings"/>
    <s v="Diamond Ring"/>
    <s v="Diamond"/>
    <s v="Arjun"/>
    <n v="5"/>
    <n v="36140"/>
    <n v="180700"/>
    <n v="118810.09"/>
    <n v="61889.91"/>
    <n v="0.34250088544548979"/>
  </r>
  <r>
    <x v="2"/>
    <x v="2"/>
    <s v="Delhi"/>
    <s v="Bracelets"/>
    <s v="Bracelet"/>
    <s v="Gold"/>
    <s v="Aisha"/>
    <n v="1"/>
    <n v="63642"/>
    <n v="63642"/>
    <n v="42119.68"/>
    <n v="21522.32"/>
    <n v="0.33817793281166525"/>
  </r>
  <r>
    <x v="3"/>
    <x v="3"/>
    <s v="Surat"/>
    <s v="Anklets"/>
    <s v="Anklet"/>
    <s v="Silver"/>
    <s v="Rohan"/>
    <n v="5"/>
    <n v="16108"/>
    <n v="80540"/>
    <n v="61646.97"/>
    <n v="18893.03"/>
    <n v="0.2345794636205612"/>
  </r>
  <r>
    <x v="4"/>
    <x v="4"/>
    <s v="Surat"/>
    <s v="Bracelets"/>
    <s v="Bracelet"/>
    <s v="Gold"/>
    <s v="Rohan"/>
    <n v="5"/>
    <n v="25455"/>
    <n v="127275"/>
    <n v="90100.75"/>
    <n v="37174.25"/>
    <n v="0.29207817717540757"/>
  </r>
  <r>
    <x v="5"/>
    <x v="5"/>
    <s v="Jaipur"/>
    <s v="Necklaces"/>
    <s v="Gold Necklace"/>
    <s v="Gold"/>
    <s v="Aisha"/>
    <n v="3"/>
    <n v="31688"/>
    <n v="95064"/>
    <n v="63750.98"/>
    <n v="31313.02"/>
    <n v="0.32938883278633341"/>
  </r>
  <r>
    <x v="6"/>
    <x v="6"/>
    <s v="Pune"/>
    <s v="Anklets"/>
    <s v="Anklet"/>
    <s v="Silver"/>
    <s v="Rohan"/>
    <n v="1"/>
    <n v="79793"/>
    <n v="79793"/>
    <n v="63229.74"/>
    <n v="16563.259999999998"/>
    <n v="0.20757785770681636"/>
  </r>
  <r>
    <x v="7"/>
    <x v="7"/>
    <s v="Surat"/>
    <s v="Anklets"/>
    <s v="Anklet"/>
    <s v="Silver"/>
    <s v="Arjun"/>
    <n v="4"/>
    <n v="77693"/>
    <n v="310772"/>
    <n v="228578.54"/>
    <n v="82193.460000000006"/>
    <n v="0.26448154917431432"/>
  </r>
  <r>
    <x v="8"/>
    <x v="8"/>
    <s v="Delhi"/>
    <s v="Earrings"/>
    <s v="Diamond Earrings"/>
    <s v="Diamond"/>
    <s v="Arjun"/>
    <n v="3"/>
    <n v="47291"/>
    <n v="141873"/>
    <n v="99266.45"/>
    <n v="42606.55"/>
    <n v="0.3003147180929423"/>
  </r>
  <r>
    <x v="9"/>
    <x v="9"/>
    <s v="Pune"/>
    <s v="Necklaces"/>
    <s v="Gold Necklace"/>
    <s v="Gold"/>
    <s v="Rohan"/>
    <n v="5"/>
    <n v="47354"/>
    <n v="236770"/>
    <n v="178770.66"/>
    <n v="57999.34"/>
    <n v="0.24496067914009376"/>
  </r>
  <r>
    <x v="10"/>
    <x v="10"/>
    <s v="Pune"/>
    <s v="Earrings"/>
    <s v="Diamond Earrings"/>
    <s v="Diamond"/>
    <s v="Meera"/>
    <n v="5"/>
    <n v="17594"/>
    <n v="87970"/>
    <n v="59257.75"/>
    <n v="28712.25"/>
    <n v="0.32638683642150734"/>
  </r>
  <r>
    <x v="11"/>
    <x v="11"/>
    <s v="Mumbai"/>
    <s v="Bracelets"/>
    <s v="Bracelet"/>
    <s v="Gold"/>
    <s v="Karan"/>
    <n v="4"/>
    <n v="63272"/>
    <n v="253088"/>
    <n v="166491.78"/>
    <n v="86596.22"/>
    <n v="0.34215853774181315"/>
  </r>
  <r>
    <x v="12"/>
    <x v="12"/>
    <s v="Bangalore"/>
    <s v="Rings"/>
    <s v="Diamond Ring"/>
    <s v="Diamond"/>
    <s v="Arjun"/>
    <n v="3"/>
    <n v="52580"/>
    <n v="157740"/>
    <n v="124466.18"/>
    <n v="33273.82"/>
    <n v="0.21094091543045518"/>
  </r>
  <r>
    <x v="13"/>
    <x v="13"/>
    <s v="Delhi"/>
    <s v="Anklets"/>
    <s v="Anklet"/>
    <s v="Silver"/>
    <s v="Arjun"/>
    <n v="1"/>
    <n v="20267"/>
    <n v="20267"/>
    <n v="17002.72"/>
    <n v="3264.28"/>
    <n v="0.16106379829279124"/>
  </r>
  <r>
    <x v="14"/>
    <x v="14"/>
    <s v="Pune"/>
    <s v="Bracelets"/>
    <s v="Bangle"/>
    <s v="Gold"/>
    <s v="Nisha"/>
    <n v="1"/>
    <n v="48580"/>
    <n v="48580"/>
    <n v="37864.5"/>
    <n v="10715.5"/>
    <n v="0.22057431041580897"/>
  </r>
  <r>
    <x v="15"/>
    <x v="15"/>
    <s v="Ahmedabad"/>
    <s v="Bracelets"/>
    <s v="Bangle"/>
    <s v="Gold"/>
    <s v="Nisha"/>
    <n v="3"/>
    <n v="10957"/>
    <n v="32871"/>
    <n v="27550.16"/>
    <n v="5320.84"/>
    <n v="0.16187034163852637"/>
  </r>
  <r>
    <x v="16"/>
    <x v="16"/>
    <s v="Mumbai"/>
    <s v="Earrings"/>
    <s v="Diamond Earrings"/>
    <s v="Diamond"/>
    <s v="Arjun"/>
    <n v="4"/>
    <n v="15727"/>
    <n v="62908"/>
    <n v="43635.6"/>
    <n v="19272.400000000001"/>
    <n v="0.30635849176575319"/>
  </r>
  <r>
    <x v="17"/>
    <x v="17"/>
    <s v="Mumbai"/>
    <s v="Earrings"/>
    <s v="Gold Earrings"/>
    <s v="Gold"/>
    <s v="Nisha"/>
    <n v="4"/>
    <n v="59242"/>
    <n v="236968"/>
    <n v="197480.42"/>
    <n v="39487.58"/>
    <n v="0.16663676108166503"/>
  </r>
  <r>
    <x v="18"/>
    <x v="18"/>
    <s v="Surat"/>
    <s v="Bracelets"/>
    <s v="Bangle"/>
    <s v="Gold"/>
    <s v="Rohan"/>
    <n v="4"/>
    <n v="44416"/>
    <n v="177664"/>
    <n v="146870.70000000001"/>
    <n v="30793.3"/>
    <n v="0.17332323937319885"/>
  </r>
  <r>
    <x v="19"/>
    <x v="19"/>
    <s v="Bangalore"/>
    <s v="Bracelets"/>
    <s v="Bracelet"/>
    <s v="Gold"/>
    <s v="Arjun"/>
    <n v="4"/>
    <n v="55024"/>
    <n v="220096"/>
    <n v="173115.32"/>
    <n v="46980.68"/>
    <n v="0.21345540127944171"/>
  </r>
  <r>
    <x v="20"/>
    <x v="20"/>
    <s v="Mumbai"/>
    <s v="Bracelets"/>
    <s v="Bracelet"/>
    <s v="Gold"/>
    <s v="Rohan"/>
    <n v="2"/>
    <n v="27830"/>
    <n v="55660"/>
    <n v="38761.14"/>
    <n v="16898.86"/>
    <n v="0.30360869565217391"/>
  </r>
  <r>
    <x v="21"/>
    <x v="21"/>
    <s v="Surat"/>
    <s v="Necklaces"/>
    <s v="Diamond Necklace"/>
    <s v="Diamond"/>
    <s v="Meera"/>
    <n v="2"/>
    <n v="42438"/>
    <n v="84876"/>
    <n v="59955.23"/>
    <n v="24920.77"/>
    <n v="0.2936138602196145"/>
  </r>
  <r>
    <x v="22"/>
    <x v="22"/>
    <s v="Delhi"/>
    <s v="Necklaces"/>
    <s v="Gold Necklace"/>
    <s v="Gold"/>
    <s v="Arjun"/>
    <n v="5"/>
    <n v="49761"/>
    <n v="248805"/>
    <n v="209150.36"/>
    <n v="39654.639999999999"/>
    <n v="0.15938039830389261"/>
  </r>
  <r>
    <x v="23"/>
    <x v="23"/>
    <s v="Jaipur"/>
    <s v="Pendants"/>
    <s v="Pendant"/>
    <s v="Gold"/>
    <s v="Nisha"/>
    <n v="1"/>
    <n v="67853"/>
    <n v="67853"/>
    <n v="56311.65"/>
    <n v="11541.35"/>
    <n v="0.17009343728353943"/>
  </r>
  <r>
    <x v="24"/>
    <x v="24"/>
    <s v="Delhi"/>
    <s v="Pendants"/>
    <s v="Pendant"/>
    <s v="Gold"/>
    <s v="Meera"/>
    <n v="4"/>
    <n v="21570"/>
    <n v="86280"/>
    <n v="64391.16"/>
    <n v="21888.84"/>
    <n v="0.25369541029207232"/>
  </r>
  <r>
    <x v="25"/>
    <x v="25"/>
    <s v="Surat"/>
    <s v="Bracelets"/>
    <s v="Bracelet"/>
    <s v="Gold"/>
    <s v="Rohan"/>
    <n v="2"/>
    <n v="65753"/>
    <n v="131506"/>
    <n v="89747.67"/>
    <n v="41758.33"/>
    <n v="0.31753935181664716"/>
  </r>
  <r>
    <x v="26"/>
    <x v="26"/>
    <s v="Jaipur"/>
    <s v="Earrings"/>
    <s v="Diamond Earrings"/>
    <s v="Diamond"/>
    <s v="Aisha"/>
    <n v="1"/>
    <n v="27826"/>
    <n v="27826"/>
    <n v="21073.29"/>
    <n v="6752.71"/>
    <n v="0.24267627398835623"/>
  </r>
  <r>
    <x v="27"/>
    <x v="27"/>
    <s v="Jaipur"/>
    <s v="Earrings"/>
    <s v="Diamond Earrings"/>
    <s v="Diamond"/>
    <s v="Aisha"/>
    <n v="2"/>
    <n v="57313"/>
    <n v="114626"/>
    <n v="77912.45"/>
    <n v="36713.550000000003"/>
    <n v="0.32028989932476054"/>
  </r>
  <r>
    <x v="28"/>
    <x v="28"/>
    <s v="Ahmedabad"/>
    <s v="Earrings"/>
    <s v="Gold Earrings"/>
    <s v="Gold"/>
    <s v="Arjun"/>
    <n v="4"/>
    <n v="24101"/>
    <n v="96404"/>
    <n v="64886.71"/>
    <n v="31517.29"/>
    <n v="0.32692927679349404"/>
  </r>
  <r>
    <x v="29"/>
    <x v="29"/>
    <s v="Delhi"/>
    <s v="Bracelets"/>
    <s v="Bangle"/>
    <s v="Gold"/>
    <s v="Meera"/>
    <n v="3"/>
    <n v="19257"/>
    <n v="57771"/>
    <n v="39216.31"/>
    <n v="18554.689999999999"/>
    <n v="0.32117654186356476"/>
  </r>
  <r>
    <x v="30"/>
    <x v="30"/>
    <s v="Pune"/>
    <s v="Earrings"/>
    <s v="Diamond Earrings"/>
    <s v="Diamond"/>
    <s v="Karan"/>
    <n v="2"/>
    <n v="75676"/>
    <n v="151352"/>
    <n v="99077.92"/>
    <n v="52274.080000000002"/>
    <n v="0.34538083408213965"/>
  </r>
  <r>
    <x v="31"/>
    <x v="31"/>
    <s v="Ahmedabad"/>
    <s v="Pendants"/>
    <s v="Pendant"/>
    <s v="Gold"/>
    <s v="Rohan"/>
    <n v="5"/>
    <n v="11544"/>
    <n v="57720"/>
    <n v="46270"/>
    <n v="11450"/>
    <n v="0.19837144837144838"/>
  </r>
  <r>
    <x v="32"/>
    <x v="32"/>
    <s v="Pune"/>
    <s v="Earrings"/>
    <s v="Gold Earrings"/>
    <s v="Gold"/>
    <s v="Aisha"/>
    <n v="3"/>
    <n v="75947"/>
    <n v="227841"/>
    <n v="164806.5"/>
    <n v="63034.5"/>
    <n v="0.27666003923788957"/>
  </r>
  <r>
    <x v="33"/>
    <x v="33"/>
    <s v="Ahmedabad"/>
    <s v="Necklaces"/>
    <s v="Gold Necklace"/>
    <s v="Gold"/>
    <s v="Rohan"/>
    <n v="5"/>
    <n v="73889"/>
    <n v="369445"/>
    <n v="264497.87"/>
    <n v="104947.13"/>
    <n v="0.28406699238046262"/>
  </r>
  <r>
    <x v="34"/>
    <x v="34"/>
    <s v="Jaipur"/>
    <s v="Necklaces"/>
    <s v="Diamond Necklace"/>
    <s v="Diamond"/>
    <s v="Rohan"/>
    <n v="4"/>
    <n v="37719"/>
    <n v="150876"/>
    <n v="104101.97"/>
    <n v="46774.03"/>
    <n v="0.31001637105967816"/>
  </r>
  <r>
    <x v="35"/>
    <x v="35"/>
    <s v="Ahmedabad"/>
    <s v="Bracelets"/>
    <s v="Bangle"/>
    <s v="Gold"/>
    <s v="Nisha"/>
    <n v="1"/>
    <n v="44623"/>
    <n v="44623"/>
    <n v="33219.5"/>
    <n v="11403.5"/>
    <n v="0.25555206956054055"/>
  </r>
  <r>
    <x v="36"/>
    <x v="36"/>
    <s v="Pune"/>
    <s v="Necklaces"/>
    <s v="Diamond Necklace"/>
    <s v="Diamond"/>
    <s v="Arjun"/>
    <n v="4"/>
    <n v="53812"/>
    <n v="215248"/>
    <n v="181023.6"/>
    <n v="34224.400000000001"/>
    <n v="0.15899985133427488"/>
  </r>
  <r>
    <x v="37"/>
    <x v="26"/>
    <s v="Surat"/>
    <s v="Earrings"/>
    <s v="Diamond Earrings"/>
    <s v="Diamond"/>
    <s v="Rohan"/>
    <n v="2"/>
    <n v="69614"/>
    <n v="139228"/>
    <n v="95975.6"/>
    <n v="43252.4"/>
    <n v="0.31065877553365706"/>
  </r>
  <r>
    <x v="38"/>
    <x v="37"/>
    <s v="Delhi"/>
    <s v="Necklaces"/>
    <s v="Diamond Necklace"/>
    <s v="Diamond"/>
    <s v="Arjun"/>
    <n v="1"/>
    <n v="70845"/>
    <n v="70845"/>
    <n v="58931.69"/>
    <n v="11913.31"/>
    <n v="0.16816020890676828"/>
  </r>
  <r>
    <x v="39"/>
    <x v="38"/>
    <s v="Bangalore"/>
    <s v="Earrings"/>
    <s v="Diamond Earrings"/>
    <s v="Diamond"/>
    <s v="Nisha"/>
    <n v="1"/>
    <n v="58926"/>
    <n v="58926"/>
    <n v="47521.5"/>
    <n v="11404.5"/>
    <n v="0.19353935444455758"/>
  </r>
  <r>
    <x v="40"/>
    <x v="39"/>
    <s v="Delhi"/>
    <s v="Necklaces"/>
    <s v="Diamond Necklace"/>
    <s v="Diamond"/>
    <s v="Rohan"/>
    <n v="3"/>
    <n v="19370"/>
    <n v="58110"/>
    <n v="47078.67"/>
    <n v="11031.33"/>
    <n v="0.18983531233866804"/>
  </r>
  <r>
    <x v="41"/>
    <x v="38"/>
    <s v="Delhi"/>
    <s v="Bracelets"/>
    <s v="Bracelet"/>
    <s v="Gold"/>
    <s v="Meera"/>
    <n v="2"/>
    <n v="30282"/>
    <n v="60564"/>
    <n v="51395.97"/>
    <n v="9168.0300000000007"/>
    <n v="0.15137755102040817"/>
  </r>
  <r>
    <x v="42"/>
    <x v="40"/>
    <s v="Mumbai"/>
    <s v="Rings"/>
    <s v="Gold Ring"/>
    <s v="Gold"/>
    <s v="Arjun"/>
    <n v="2"/>
    <n v="70174"/>
    <n v="140348"/>
    <n v="109675.46"/>
    <n v="30672.54"/>
    <n v="0.21854632769971785"/>
  </r>
  <r>
    <x v="43"/>
    <x v="41"/>
    <s v="Mumbai"/>
    <s v="Earrings"/>
    <s v="Diamond Earrings"/>
    <s v="Diamond"/>
    <s v="Arjun"/>
    <n v="2"/>
    <n v="10804"/>
    <n v="21608"/>
    <n v="14106.75"/>
    <n v="7501.25"/>
    <n v="0.34715151795631249"/>
  </r>
  <r>
    <x v="44"/>
    <x v="42"/>
    <s v="Jaipur"/>
    <s v="Rings"/>
    <s v="Diamond Ring"/>
    <s v="Diamond"/>
    <s v="Nisha"/>
    <n v="4"/>
    <n v="33533"/>
    <n v="134132"/>
    <n v="109348.57"/>
    <n v="24783.43"/>
    <n v="0.18476895893597353"/>
  </r>
  <r>
    <x v="45"/>
    <x v="43"/>
    <s v="Surat"/>
    <s v="Necklaces"/>
    <s v="Diamond Necklace"/>
    <s v="Diamond"/>
    <s v="Karan"/>
    <n v="3"/>
    <n v="73688"/>
    <n v="221064"/>
    <n v="154326.51999999999"/>
    <n v="66737.48"/>
    <n v="0.30189212173850105"/>
  </r>
  <r>
    <x v="46"/>
    <x v="44"/>
    <s v="Ahmedabad"/>
    <s v="Anklets"/>
    <s v="Anklet"/>
    <s v="Silver"/>
    <s v="Karan"/>
    <n v="4"/>
    <n v="25180"/>
    <n v="100720"/>
    <n v="66694.86"/>
    <n v="34025.14"/>
    <n v="0.33781910246227165"/>
  </r>
  <r>
    <x v="47"/>
    <x v="45"/>
    <s v="Delhi"/>
    <s v="Earrings"/>
    <s v="Diamond Earrings"/>
    <s v="Diamond"/>
    <s v="Nisha"/>
    <n v="5"/>
    <n v="63132"/>
    <n v="315660"/>
    <n v="257397.98"/>
    <n v="58262.02"/>
    <n v="0.18457207121586516"/>
  </r>
  <r>
    <x v="48"/>
    <x v="11"/>
    <s v="Mumbai"/>
    <s v="Pendants"/>
    <s v="Pendant"/>
    <s v="Gold"/>
    <s v="Arjun"/>
    <n v="5"/>
    <n v="74918"/>
    <n v="374590"/>
    <n v="244884.83"/>
    <n v="129705.17"/>
    <n v="0.34625902987266077"/>
  </r>
  <r>
    <x v="49"/>
    <x v="46"/>
    <s v="Bangalore"/>
    <s v="Bracelets"/>
    <s v="Bangle"/>
    <s v="Gold"/>
    <s v="Rohan"/>
    <n v="1"/>
    <n v="27634"/>
    <n v="27634"/>
    <n v="18914.63"/>
    <n v="8719.3700000000008"/>
    <n v="0.31553050589853082"/>
  </r>
  <r>
    <x v="50"/>
    <x v="47"/>
    <s v="Jaipur"/>
    <s v="Bracelets"/>
    <s v="Bangle"/>
    <s v="Gold"/>
    <s v="Nisha"/>
    <n v="5"/>
    <n v="16094"/>
    <n v="80470"/>
    <n v="57551.86"/>
    <n v="22918.14"/>
    <n v="0.28480352926556479"/>
  </r>
  <r>
    <x v="51"/>
    <x v="29"/>
    <s v="Jaipur"/>
    <s v="Pendants"/>
    <s v="Pendant"/>
    <s v="Gold"/>
    <s v="Arjun"/>
    <n v="1"/>
    <n v="15447"/>
    <n v="15447"/>
    <n v="10808.25"/>
    <n v="4638.75"/>
    <n v="0.30030102932608271"/>
  </r>
  <r>
    <x v="52"/>
    <x v="48"/>
    <s v="Surat"/>
    <s v="Earrings"/>
    <s v="Gold Earrings"/>
    <s v="Gold"/>
    <s v="Aisha"/>
    <n v="4"/>
    <n v="11652"/>
    <n v="46608"/>
    <n v="37379.550000000003"/>
    <n v="9228.4500000000007"/>
    <n v="0.19800141606591146"/>
  </r>
  <r>
    <x v="53"/>
    <x v="49"/>
    <s v="Delhi"/>
    <s v="Rings"/>
    <s v="Diamond Ring"/>
    <s v="Diamond"/>
    <s v="Karan"/>
    <n v="5"/>
    <n v="75130"/>
    <n v="375650"/>
    <n v="259153.66"/>
    <n v="116496.34"/>
    <n v="0.31011936643151872"/>
  </r>
  <r>
    <x v="54"/>
    <x v="50"/>
    <s v="Delhi"/>
    <s v="Earrings"/>
    <s v="Gold Earrings"/>
    <s v="Gold"/>
    <s v="Arjun"/>
    <n v="4"/>
    <n v="74552"/>
    <n v="298208"/>
    <n v="249987.83"/>
    <n v="48220.17"/>
    <n v="0.16169978672604357"/>
  </r>
  <r>
    <x v="55"/>
    <x v="51"/>
    <s v="Ahmedabad"/>
    <s v="Pendants"/>
    <s v="Pendant"/>
    <s v="Gold"/>
    <s v="Arjun"/>
    <n v="4"/>
    <n v="25974"/>
    <n v="103896"/>
    <n v="76189.78"/>
    <n v="27706.22"/>
    <n v="0.2666726341726342"/>
  </r>
  <r>
    <x v="56"/>
    <x v="52"/>
    <s v="Delhi"/>
    <s v="Bracelets"/>
    <s v="Bracelet"/>
    <s v="Gold"/>
    <s v="Karan"/>
    <n v="2"/>
    <n v="64143"/>
    <n v="128286"/>
    <n v="85261.97"/>
    <n v="43024.03"/>
    <n v="0.33537587889559267"/>
  </r>
  <r>
    <x v="57"/>
    <x v="53"/>
    <s v="Bangalore"/>
    <s v="Earrings"/>
    <s v="Gold Earrings"/>
    <s v="Gold"/>
    <s v="Aisha"/>
    <n v="3"/>
    <n v="26740"/>
    <n v="80220"/>
    <n v="56203.86"/>
    <n v="24016.14"/>
    <n v="0.29937845923709799"/>
  </r>
  <r>
    <x v="58"/>
    <x v="54"/>
    <s v="Delhi"/>
    <s v="Necklaces"/>
    <s v="Gold Necklace"/>
    <s v="Gold"/>
    <s v="Rohan"/>
    <n v="4"/>
    <n v="71866"/>
    <n v="287464"/>
    <n v="196211.15"/>
    <n v="91252.85"/>
    <n v="0.31744096652102527"/>
  </r>
  <r>
    <x v="59"/>
    <x v="55"/>
    <s v="Mumbai"/>
    <s v="Necklaces"/>
    <s v="Diamond Necklace"/>
    <s v="Diamond"/>
    <s v="Nisha"/>
    <n v="5"/>
    <n v="60928"/>
    <n v="304640"/>
    <n v="218677.67"/>
    <n v="85962.33"/>
    <n v="0.28217676601890757"/>
  </r>
  <r>
    <x v="60"/>
    <x v="56"/>
    <s v="Ahmedabad"/>
    <s v="Necklaces"/>
    <s v="Diamond Necklace"/>
    <s v="Diamond"/>
    <s v="Karan"/>
    <n v="3"/>
    <n v="10553"/>
    <n v="31659"/>
    <n v="22718.37"/>
    <n v="8940.6299999999992"/>
    <n v="0.28240405571875293"/>
  </r>
  <r>
    <x v="61"/>
    <x v="57"/>
    <s v="Delhi"/>
    <s v="Bracelets"/>
    <s v="Bangle"/>
    <s v="Gold"/>
    <s v="Nisha"/>
    <n v="4"/>
    <n v="51450"/>
    <n v="205800"/>
    <n v="155067.57999999999"/>
    <n v="50732.42"/>
    <n v="0.24651321671525753"/>
  </r>
  <r>
    <x v="62"/>
    <x v="58"/>
    <s v="Jaipur"/>
    <s v="Earrings"/>
    <s v="Gold Earrings"/>
    <s v="Gold"/>
    <s v="Aisha"/>
    <n v="2"/>
    <n v="21733"/>
    <n v="43466"/>
    <n v="28983.66"/>
    <n v="14482.34"/>
    <n v="0.33318777895366491"/>
  </r>
  <r>
    <x v="63"/>
    <x v="59"/>
    <s v="Surat"/>
    <s v="Earrings"/>
    <s v="Gold Earrings"/>
    <s v="Gold"/>
    <s v="Rohan"/>
    <n v="2"/>
    <n v="63345"/>
    <n v="126690"/>
    <n v="103875.36"/>
    <n v="22814.639999999999"/>
    <n v="0.18008240587260241"/>
  </r>
  <r>
    <x v="64"/>
    <x v="60"/>
    <s v="Delhi"/>
    <s v="Earrings"/>
    <s v="Gold Earrings"/>
    <s v="Gold"/>
    <s v="Rohan"/>
    <n v="5"/>
    <n v="72829"/>
    <n v="364145"/>
    <n v="287704.95"/>
    <n v="76440.05"/>
    <n v="0.20991651677216494"/>
  </r>
  <r>
    <x v="65"/>
    <x v="61"/>
    <s v="Ahmedabad"/>
    <s v="Rings"/>
    <s v="Diamond Ring"/>
    <s v="Diamond"/>
    <s v="Aisha"/>
    <n v="2"/>
    <n v="63747"/>
    <n v="127494"/>
    <n v="105699.8"/>
    <n v="21794.2"/>
    <n v="0.17094294633472948"/>
  </r>
  <r>
    <x v="66"/>
    <x v="62"/>
    <s v="Surat"/>
    <s v="Earrings"/>
    <s v="Gold Earrings"/>
    <s v="Gold"/>
    <s v="Nisha"/>
    <n v="3"/>
    <n v="18976"/>
    <n v="56928"/>
    <n v="43927.66"/>
    <n v="13000.34"/>
    <n v="0.22836460089938168"/>
  </r>
  <r>
    <x v="67"/>
    <x v="63"/>
    <s v="Surat"/>
    <s v="Necklaces"/>
    <s v="Diamond Necklace"/>
    <s v="Diamond"/>
    <s v="Karan"/>
    <n v="4"/>
    <n v="9513"/>
    <n v="38052"/>
    <n v="27314.880000000001"/>
    <n v="10737.12"/>
    <n v="0.28216966256701359"/>
  </r>
  <r>
    <x v="68"/>
    <x v="64"/>
    <s v="Delhi"/>
    <s v="Pendants"/>
    <s v="Pendant"/>
    <s v="Gold"/>
    <s v="Karan"/>
    <n v="2"/>
    <n v="13663"/>
    <n v="27326"/>
    <n v="20641.599999999999"/>
    <n v="6684.4"/>
    <n v="0.24461684842274756"/>
  </r>
  <r>
    <x v="69"/>
    <x v="65"/>
    <s v="Surat"/>
    <s v="Necklaces"/>
    <s v="Diamond Necklace"/>
    <s v="Diamond"/>
    <s v="Rohan"/>
    <n v="1"/>
    <n v="31743"/>
    <n v="31743"/>
    <n v="21913.9"/>
    <n v="9829.1"/>
    <n v="0.30964622121412594"/>
  </r>
  <r>
    <x v="70"/>
    <x v="66"/>
    <s v="Pune"/>
    <s v="Earrings"/>
    <s v="Gold Earrings"/>
    <s v="Gold"/>
    <s v="Karan"/>
    <n v="2"/>
    <n v="46005"/>
    <n v="92010"/>
    <n v="68008.03"/>
    <n v="24001.97"/>
    <n v="0.26086262362786655"/>
  </r>
  <r>
    <x v="71"/>
    <x v="57"/>
    <s v="Ahmedabad"/>
    <s v="Necklaces"/>
    <s v="Gold Necklace"/>
    <s v="Gold"/>
    <s v="Karan"/>
    <n v="3"/>
    <n v="12843"/>
    <n v="38529"/>
    <n v="25162.1"/>
    <n v="13366.9"/>
    <n v="0.34693088323081317"/>
  </r>
  <r>
    <x v="72"/>
    <x v="67"/>
    <s v="Jaipur"/>
    <s v="Pendants"/>
    <s v="Pendant"/>
    <s v="Gold"/>
    <s v="Rohan"/>
    <n v="4"/>
    <n v="40201"/>
    <n v="160804"/>
    <n v="134581.46"/>
    <n v="26222.54"/>
    <n v="0.16307144100893012"/>
  </r>
  <r>
    <x v="73"/>
    <x v="68"/>
    <s v="Pune"/>
    <s v="Rings"/>
    <s v="Diamond Ring"/>
    <s v="Diamond"/>
    <s v="Nisha"/>
    <n v="4"/>
    <n v="79553"/>
    <n v="318212"/>
    <n v="259954.63"/>
    <n v="58257.37"/>
    <n v="0.18307722524606238"/>
  </r>
  <r>
    <x v="74"/>
    <x v="61"/>
    <s v="Jaipur"/>
    <s v="Bracelets"/>
    <s v="Bracelet"/>
    <s v="Gold"/>
    <s v="Karan"/>
    <n v="2"/>
    <n v="38089"/>
    <n v="76178"/>
    <n v="54737.01"/>
    <n v="21440.99"/>
    <n v="0.28145908267478803"/>
  </r>
  <r>
    <x v="75"/>
    <x v="69"/>
    <s v="Delhi"/>
    <s v="Necklaces"/>
    <s v="Gold Necklace"/>
    <s v="Gold"/>
    <s v="Karan"/>
    <n v="2"/>
    <n v="9868"/>
    <n v="19736"/>
    <n v="13107.56"/>
    <n v="6628.44"/>
    <n v="0.33585528982569923"/>
  </r>
  <r>
    <x v="76"/>
    <x v="70"/>
    <s v="Delhi"/>
    <s v="Earrings"/>
    <s v="Gold Earrings"/>
    <s v="Gold"/>
    <s v="Rohan"/>
    <n v="1"/>
    <n v="57922"/>
    <n v="57922"/>
    <n v="47733.96"/>
    <n v="10188.040000000001"/>
    <n v="0.175892407030144"/>
  </r>
  <r>
    <x v="77"/>
    <x v="71"/>
    <s v="Jaipur"/>
    <s v="Earrings"/>
    <s v="Gold Earrings"/>
    <s v="Gold"/>
    <s v="Rohan"/>
    <n v="3"/>
    <n v="13929"/>
    <n v="41787"/>
    <n v="31001.38"/>
    <n v="10785.62"/>
    <n v="0.25810945987986694"/>
  </r>
  <r>
    <x v="78"/>
    <x v="72"/>
    <s v="Ahmedabad"/>
    <s v="Necklaces"/>
    <s v="Gold Necklace"/>
    <s v="Gold"/>
    <s v="Meera"/>
    <n v="3"/>
    <n v="55728"/>
    <n v="167184"/>
    <n v="140828.66"/>
    <n v="26355.34"/>
    <n v="0.15764271700641211"/>
  </r>
  <r>
    <x v="79"/>
    <x v="73"/>
    <s v="Ahmedabad"/>
    <s v="Pendants"/>
    <s v="Pendant"/>
    <s v="Gold"/>
    <s v="Rohan"/>
    <n v="3"/>
    <n v="36556"/>
    <n v="109668"/>
    <n v="79105.37"/>
    <n v="30562.63"/>
    <n v="0.278683207498997"/>
  </r>
  <r>
    <x v="80"/>
    <x v="20"/>
    <s v="Ahmedabad"/>
    <s v="Rings"/>
    <s v="Gold Ring"/>
    <s v="Gold"/>
    <s v="Meera"/>
    <n v="4"/>
    <n v="44559"/>
    <n v="178236"/>
    <n v="133775.53"/>
    <n v="44460.47"/>
    <n v="0.24944719360847417"/>
  </r>
  <r>
    <x v="81"/>
    <x v="74"/>
    <s v="Mumbai"/>
    <s v="Necklaces"/>
    <s v="Diamond Necklace"/>
    <s v="Diamond"/>
    <s v="Arjun"/>
    <n v="1"/>
    <n v="42625"/>
    <n v="42625"/>
    <n v="34671.550000000003"/>
    <n v="7953.45"/>
    <n v="0.18659120234604104"/>
  </r>
  <r>
    <x v="82"/>
    <x v="75"/>
    <s v="Delhi"/>
    <s v="Necklaces"/>
    <s v="Gold Necklace"/>
    <s v="Gold"/>
    <s v="Arjun"/>
    <n v="4"/>
    <n v="10948"/>
    <n v="43792"/>
    <n v="31089.22"/>
    <n v="12702.78"/>
    <n v="0.29007078918523932"/>
  </r>
  <r>
    <x v="83"/>
    <x v="76"/>
    <s v="Surat"/>
    <s v="Necklaces"/>
    <s v="Diamond Necklace"/>
    <s v="Diamond"/>
    <s v="Arjun"/>
    <n v="2"/>
    <n v="59054"/>
    <n v="118108"/>
    <n v="94824.46"/>
    <n v="23283.54"/>
    <n v="0.19713770447387138"/>
  </r>
  <r>
    <x v="84"/>
    <x v="77"/>
    <s v="Mumbai"/>
    <s v="Bracelets"/>
    <s v="Bangle"/>
    <s v="Gold"/>
    <s v="Karan"/>
    <n v="2"/>
    <n v="13739"/>
    <n v="27478"/>
    <n v="22393.78"/>
    <n v="5084.22"/>
    <n v="0.18502875027294563"/>
  </r>
  <r>
    <x v="85"/>
    <x v="78"/>
    <s v="Pune"/>
    <s v="Pendants"/>
    <s v="Pendant"/>
    <s v="Gold"/>
    <s v="Meera"/>
    <n v="5"/>
    <n v="26259"/>
    <n v="131295"/>
    <n v="109234.49"/>
    <n v="22060.51"/>
    <n v="0.16802246848699492"/>
  </r>
  <r>
    <x v="86"/>
    <x v="79"/>
    <s v="Jaipur"/>
    <s v="Pendants"/>
    <s v="Pendant"/>
    <s v="Gold"/>
    <s v="Aisha"/>
    <n v="5"/>
    <n v="38138"/>
    <n v="190690"/>
    <n v="127193.73"/>
    <n v="63496.27"/>
    <n v="0.33298164560281085"/>
  </r>
  <r>
    <x v="87"/>
    <x v="80"/>
    <s v="Mumbai"/>
    <s v="Rings"/>
    <s v="Gold Ring"/>
    <s v="Gold"/>
    <s v="Nisha"/>
    <n v="1"/>
    <n v="57364"/>
    <n v="57364"/>
    <n v="46875.81"/>
    <n v="10488.19"/>
    <n v="0.18283575064500385"/>
  </r>
  <r>
    <x v="88"/>
    <x v="57"/>
    <s v="Surat"/>
    <s v="Pendants"/>
    <s v="Pendant"/>
    <s v="Gold"/>
    <s v="Nisha"/>
    <n v="5"/>
    <n v="40054"/>
    <n v="200270"/>
    <n v="149773.69"/>
    <n v="50496.31"/>
    <n v="0.25214115943476306"/>
  </r>
  <r>
    <x v="89"/>
    <x v="81"/>
    <s v="Delhi"/>
    <s v="Rings"/>
    <s v="Gold Ring"/>
    <s v="Gold"/>
    <s v="Aisha"/>
    <n v="5"/>
    <n v="20051"/>
    <n v="100255"/>
    <n v="78385.36"/>
    <n v="21869.64"/>
    <n v="0.21814014263627748"/>
  </r>
  <r>
    <x v="90"/>
    <x v="82"/>
    <s v="Pune"/>
    <s v="Rings"/>
    <s v="Diamond Ring"/>
    <s v="Diamond"/>
    <s v="Nisha"/>
    <n v="3"/>
    <n v="17758"/>
    <n v="53274"/>
    <n v="43643.48"/>
    <n v="9630.52"/>
    <n v="0.1807733603634043"/>
  </r>
  <r>
    <x v="91"/>
    <x v="83"/>
    <s v="Pune"/>
    <s v="Necklaces"/>
    <s v="Diamond Necklace"/>
    <s v="Diamond"/>
    <s v="Rohan"/>
    <n v="4"/>
    <n v="72742"/>
    <n v="290968"/>
    <n v="238333.71"/>
    <n v="52634.29"/>
    <n v="0.18089374089246929"/>
  </r>
  <r>
    <x v="92"/>
    <x v="10"/>
    <s v="Delhi"/>
    <s v="Rings"/>
    <s v="Diamond Ring"/>
    <s v="Diamond"/>
    <s v="Nisha"/>
    <n v="1"/>
    <n v="33990"/>
    <n v="33990"/>
    <n v="22620.15"/>
    <n v="11369.85"/>
    <n v="0.33450573698146513"/>
  </r>
  <r>
    <x v="93"/>
    <x v="0"/>
    <s v="Ahmedabad"/>
    <s v="Necklaces"/>
    <s v="Gold Necklace"/>
    <s v="Gold"/>
    <s v="Karan"/>
    <n v="3"/>
    <n v="25490"/>
    <n v="76470"/>
    <n v="49896.2"/>
    <n v="26573.8"/>
    <n v="0.34750621158624295"/>
  </r>
  <r>
    <x v="94"/>
    <x v="84"/>
    <s v="Delhi"/>
    <s v="Rings"/>
    <s v="Gold Ring"/>
    <s v="Gold"/>
    <s v="Karan"/>
    <n v="1"/>
    <n v="36533"/>
    <n v="36533"/>
    <n v="28683.58"/>
    <n v="7849.42"/>
    <n v="0.21485834724769387"/>
  </r>
  <r>
    <x v="95"/>
    <x v="85"/>
    <s v="Pune"/>
    <s v="Earrings"/>
    <s v="Gold Earrings"/>
    <s v="Gold"/>
    <s v="Arjun"/>
    <n v="4"/>
    <n v="69066"/>
    <n v="276264"/>
    <n v="205338.14"/>
    <n v="70925.86"/>
    <n v="0.25673218370833695"/>
  </r>
  <r>
    <x v="96"/>
    <x v="86"/>
    <s v="Jaipur"/>
    <s v="Rings"/>
    <s v="Diamond Ring"/>
    <s v="Diamond"/>
    <s v="Rohan"/>
    <n v="1"/>
    <n v="69989"/>
    <n v="69989"/>
    <n v="45737.87"/>
    <n v="24251.13"/>
    <n v="0.34649916415436716"/>
  </r>
  <r>
    <x v="97"/>
    <x v="87"/>
    <s v="Surat"/>
    <s v="Bracelets"/>
    <s v="Bangle"/>
    <s v="Gold"/>
    <s v="Arjun"/>
    <n v="3"/>
    <n v="58704"/>
    <n v="176112"/>
    <n v="121863.77"/>
    <n v="54248.23"/>
    <n v="0.30803255882620151"/>
  </r>
  <r>
    <x v="98"/>
    <x v="88"/>
    <s v="Surat"/>
    <s v="Necklaces"/>
    <s v="Diamond Necklace"/>
    <s v="Diamond"/>
    <s v="Arjun"/>
    <n v="2"/>
    <n v="76690"/>
    <n v="153380"/>
    <n v="107728.25"/>
    <n v="45651.75"/>
    <n v="0.29763821880297303"/>
  </r>
  <r>
    <x v="99"/>
    <x v="89"/>
    <s v="Mumbai"/>
    <s v="Earrings"/>
    <s v="Diamond Earrings"/>
    <s v="Diamond"/>
    <s v="Arjun"/>
    <n v="5"/>
    <n v="44643"/>
    <n v="223215"/>
    <n v="184681.94"/>
    <n v="38533.06"/>
    <n v="0.17262755639181954"/>
  </r>
  <r>
    <x v="100"/>
    <x v="90"/>
    <s v="Mumbai"/>
    <s v="Earrings"/>
    <s v="Diamond Earrings"/>
    <s v="Diamond"/>
    <s v="Meera"/>
    <n v="4"/>
    <n v="11255"/>
    <n v="45020"/>
    <n v="30695.22"/>
    <n v="14324.78"/>
    <n v="0.3181870279875611"/>
  </r>
  <r>
    <x v="101"/>
    <x v="91"/>
    <s v="Pune"/>
    <s v="Bracelets"/>
    <s v="Bangle"/>
    <s v="Gold"/>
    <s v="Meera"/>
    <n v="3"/>
    <n v="26442"/>
    <n v="79326"/>
    <n v="58164.7"/>
    <n v="21161.3"/>
    <n v="0.26676373446284951"/>
  </r>
  <r>
    <x v="102"/>
    <x v="92"/>
    <s v="Ahmedabad"/>
    <s v="Bracelets"/>
    <s v="Bracelet"/>
    <s v="Gold"/>
    <s v="Aisha"/>
    <n v="1"/>
    <n v="50539"/>
    <n v="50539"/>
    <n v="40438.620000000003"/>
    <n v="10100.379999999999"/>
    <n v="0.19985318269059538"/>
  </r>
  <r>
    <x v="103"/>
    <x v="93"/>
    <s v="Surat"/>
    <s v="Bracelets"/>
    <s v="Bracelet"/>
    <s v="Gold"/>
    <s v="Rohan"/>
    <n v="1"/>
    <n v="45988"/>
    <n v="45988"/>
    <n v="32221.14"/>
    <n v="13766.86"/>
    <n v="0.29935765851961382"/>
  </r>
  <r>
    <x v="104"/>
    <x v="21"/>
    <s v="Delhi"/>
    <s v="Rings"/>
    <s v="Diamond Ring"/>
    <s v="Diamond"/>
    <s v="Meera"/>
    <n v="1"/>
    <n v="55278"/>
    <n v="55278"/>
    <n v="46161.72"/>
    <n v="9116.2800000000007"/>
    <n v="0.16491696515792903"/>
  </r>
  <r>
    <x v="105"/>
    <x v="94"/>
    <s v="Bangalore"/>
    <s v="Earrings"/>
    <s v="Gold Earrings"/>
    <s v="Gold"/>
    <s v="Aisha"/>
    <n v="1"/>
    <n v="14765"/>
    <n v="14765"/>
    <n v="12062.05"/>
    <n v="2702.95"/>
    <n v="0.18306467998645445"/>
  </r>
  <r>
    <x v="106"/>
    <x v="95"/>
    <s v="Pune"/>
    <s v="Earrings"/>
    <s v="Gold Earrings"/>
    <s v="Gold"/>
    <s v="Rohan"/>
    <n v="3"/>
    <n v="65178"/>
    <n v="195534"/>
    <n v="147079.23000000001"/>
    <n v="48454.77"/>
    <n v="0.24780738899628707"/>
  </r>
  <r>
    <x v="107"/>
    <x v="96"/>
    <s v="Bangalore"/>
    <s v="Necklaces"/>
    <s v="Diamond Necklace"/>
    <s v="Diamond"/>
    <s v="Karan"/>
    <n v="1"/>
    <n v="60434"/>
    <n v="60434"/>
    <n v="50322.47"/>
    <n v="10111.530000000001"/>
    <n v="0.16731525300327632"/>
  </r>
  <r>
    <x v="108"/>
    <x v="9"/>
    <s v="Jaipur"/>
    <s v="Pendants"/>
    <s v="Pendant"/>
    <s v="Gold"/>
    <s v="Rohan"/>
    <n v="1"/>
    <n v="61855"/>
    <n v="61855"/>
    <n v="45783.34"/>
    <n v="16071.66"/>
    <n v="0.25982798480316871"/>
  </r>
  <r>
    <x v="109"/>
    <x v="90"/>
    <s v="Pune"/>
    <s v="Necklaces"/>
    <s v="Gold Necklace"/>
    <s v="Gold"/>
    <s v="Karan"/>
    <n v="1"/>
    <n v="24686"/>
    <n v="24686"/>
    <n v="16888.990000000002"/>
    <n v="7797.01"/>
    <n v="0.31584744389532532"/>
  </r>
  <r>
    <x v="110"/>
    <x v="97"/>
    <s v="Ahmedabad"/>
    <s v="Bracelets"/>
    <s v="Bracelet"/>
    <s v="Gold"/>
    <s v="Karan"/>
    <n v="3"/>
    <n v="42100"/>
    <n v="126300"/>
    <n v="92355.85"/>
    <n v="33944.15"/>
    <n v="0.26875811559778306"/>
  </r>
  <r>
    <x v="111"/>
    <x v="98"/>
    <s v="Ahmedabad"/>
    <s v="Necklaces"/>
    <s v="Diamond Necklace"/>
    <s v="Diamond"/>
    <s v="Meera"/>
    <n v="4"/>
    <n v="23694"/>
    <n v="94776"/>
    <n v="64776.22"/>
    <n v="29999.78"/>
    <n v="0.31653351059339918"/>
  </r>
  <r>
    <x v="112"/>
    <x v="99"/>
    <s v="Surat"/>
    <s v="Necklaces"/>
    <s v="Gold Necklace"/>
    <s v="Gold"/>
    <s v="Rohan"/>
    <n v="4"/>
    <n v="36839"/>
    <n v="147356"/>
    <n v="109131.44"/>
    <n v="38224.559999999998"/>
    <n v="0.25940280680800237"/>
  </r>
  <r>
    <x v="113"/>
    <x v="100"/>
    <s v="Bangalore"/>
    <s v="Earrings"/>
    <s v="Diamond Earrings"/>
    <s v="Diamond"/>
    <s v="Meera"/>
    <n v="2"/>
    <n v="79799"/>
    <n v="159598"/>
    <n v="109880.26"/>
    <n v="49717.74"/>
    <n v="0.31151856539555633"/>
  </r>
  <r>
    <x v="114"/>
    <x v="101"/>
    <s v="Mumbai"/>
    <s v="Rings"/>
    <s v="Diamond Ring"/>
    <s v="Diamond"/>
    <s v="Karan"/>
    <n v="1"/>
    <n v="49849"/>
    <n v="49849"/>
    <n v="34785.89"/>
    <n v="15063.11"/>
    <n v="0.30217476779875224"/>
  </r>
  <r>
    <x v="115"/>
    <x v="51"/>
    <s v="Bangalore"/>
    <s v="Earrings"/>
    <s v="Gold Earrings"/>
    <s v="Gold"/>
    <s v="Arjun"/>
    <n v="1"/>
    <n v="62104"/>
    <n v="62104"/>
    <n v="45122.75"/>
    <n v="16981.25"/>
    <n v="0.2734324681179956"/>
  </r>
  <r>
    <x v="116"/>
    <x v="59"/>
    <s v="Mumbai"/>
    <s v="Pendants"/>
    <s v="Pendant"/>
    <s v="Gold"/>
    <s v="Meera"/>
    <n v="3"/>
    <n v="16134"/>
    <n v="48402"/>
    <n v="36283.550000000003"/>
    <n v="12118.45"/>
    <n v="0.25037085244411389"/>
  </r>
  <r>
    <x v="117"/>
    <x v="79"/>
    <s v="Ahmedabad"/>
    <s v="Anklets"/>
    <s v="Anklet"/>
    <s v="Silver"/>
    <s v="Rohan"/>
    <n v="5"/>
    <n v="77366"/>
    <n v="386830"/>
    <n v="300151.21999999997"/>
    <n v="86678.78"/>
    <n v="0.22407460641625521"/>
  </r>
  <r>
    <x v="118"/>
    <x v="95"/>
    <s v="Surat"/>
    <s v="Necklaces"/>
    <s v="Diamond Necklace"/>
    <s v="Diamond"/>
    <s v="Karan"/>
    <n v="4"/>
    <n v="60396"/>
    <n v="241584"/>
    <n v="188232.19"/>
    <n v="53351.81"/>
    <n v="0.22084165342075635"/>
  </r>
  <r>
    <x v="119"/>
    <x v="102"/>
    <s v="Ahmedabad"/>
    <s v="Bracelets"/>
    <s v="Bracelet"/>
    <s v="Gold"/>
    <s v="Aisha"/>
    <n v="1"/>
    <n v="63731"/>
    <n v="63731"/>
    <n v="50468.73"/>
    <n v="13262.27"/>
    <n v="0.20809762909729959"/>
  </r>
  <r>
    <x v="120"/>
    <x v="103"/>
    <s v="Jaipur"/>
    <s v="Bracelets"/>
    <s v="Bangle"/>
    <s v="Gold"/>
    <s v="Meera"/>
    <n v="1"/>
    <n v="59317"/>
    <n v="59317"/>
    <n v="49591.839999999997"/>
    <n v="9725.16"/>
    <n v="0.16395232395434697"/>
  </r>
  <r>
    <x v="121"/>
    <x v="18"/>
    <s v="Bangalore"/>
    <s v="Pendants"/>
    <s v="Pendant"/>
    <s v="Gold"/>
    <s v="Meera"/>
    <n v="2"/>
    <n v="22292"/>
    <n v="44584"/>
    <n v="30975.18"/>
    <n v="13608.82"/>
    <n v="0.30523999641126859"/>
  </r>
  <r>
    <x v="122"/>
    <x v="104"/>
    <s v="Jaipur"/>
    <s v="Necklaces"/>
    <s v="Gold Necklace"/>
    <s v="Gold"/>
    <s v="Nisha"/>
    <n v="4"/>
    <n v="19141"/>
    <n v="76564"/>
    <n v="58211.62"/>
    <n v="18352.38"/>
    <n v="0.23969985894153911"/>
  </r>
  <r>
    <x v="123"/>
    <x v="105"/>
    <s v="Surat"/>
    <s v="Rings"/>
    <s v="Gold Ring"/>
    <s v="Gold"/>
    <s v="Rohan"/>
    <n v="5"/>
    <n v="12927"/>
    <n v="64635"/>
    <n v="50357.2"/>
    <n v="14277.8"/>
    <n v="0.22089889378819524"/>
  </r>
  <r>
    <x v="124"/>
    <x v="106"/>
    <s v="Mumbai"/>
    <s v="Earrings"/>
    <s v="Gold Earrings"/>
    <s v="Gold"/>
    <s v="Nisha"/>
    <n v="5"/>
    <n v="65334"/>
    <n v="326670"/>
    <n v="257976.65"/>
    <n v="68693.350000000006"/>
    <n v="0.21028361955490252"/>
  </r>
  <r>
    <x v="125"/>
    <x v="107"/>
    <s v="Surat"/>
    <s v="Rings"/>
    <s v="Diamond Ring"/>
    <s v="Diamond"/>
    <s v="Aisha"/>
    <n v="5"/>
    <n v="33126"/>
    <n v="165630"/>
    <n v="120515.1"/>
    <n v="45114.9"/>
    <n v="0.27238362615468215"/>
  </r>
  <r>
    <x v="126"/>
    <x v="103"/>
    <s v="Bangalore"/>
    <s v="Necklaces"/>
    <s v="Diamond Necklace"/>
    <s v="Diamond"/>
    <s v="Arjun"/>
    <n v="1"/>
    <n v="78448"/>
    <n v="78448"/>
    <n v="55721.95"/>
    <n v="22726.05"/>
    <n v="0.2896957220069345"/>
  </r>
  <r>
    <x v="127"/>
    <x v="108"/>
    <s v="Ahmedabad"/>
    <s v="Bracelets"/>
    <s v="Bangle"/>
    <s v="Gold"/>
    <s v="Karan"/>
    <n v="2"/>
    <n v="70299"/>
    <n v="140598"/>
    <n v="106187.42"/>
    <n v="34410.58"/>
    <n v="0.24474444871193049"/>
  </r>
  <r>
    <x v="128"/>
    <x v="109"/>
    <s v="Mumbai"/>
    <s v="Pendants"/>
    <s v="Pendant"/>
    <s v="Gold"/>
    <s v="Aisha"/>
    <n v="3"/>
    <n v="15249"/>
    <n v="45747"/>
    <n v="29934.89"/>
    <n v="15812.11"/>
    <n v="0.3456425557960085"/>
  </r>
  <r>
    <x v="129"/>
    <x v="110"/>
    <s v="Pune"/>
    <s v="Bracelets"/>
    <s v="Bangle"/>
    <s v="Gold"/>
    <s v="Nisha"/>
    <n v="1"/>
    <n v="41719"/>
    <n v="41719"/>
    <n v="29018.41"/>
    <n v="12700.59"/>
    <n v="0.30443179366715406"/>
  </r>
  <r>
    <x v="130"/>
    <x v="111"/>
    <s v="Ahmedabad"/>
    <s v="Bracelets"/>
    <s v="Bracelet"/>
    <s v="Gold"/>
    <s v="Rohan"/>
    <n v="1"/>
    <n v="52309"/>
    <n v="52309"/>
    <n v="41515.9"/>
    <n v="10793.1"/>
    <n v="0.20633351813263492"/>
  </r>
  <r>
    <x v="131"/>
    <x v="112"/>
    <s v="Pune"/>
    <s v="Earrings"/>
    <s v="Diamond Earrings"/>
    <s v="Diamond"/>
    <s v="Meera"/>
    <n v="1"/>
    <n v="46287"/>
    <n v="46287"/>
    <n v="36928.959999999999"/>
    <n v="9358.0400000000009"/>
    <n v="0.20217426059152679"/>
  </r>
  <r>
    <x v="132"/>
    <x v="113"/>
    <s v="Surat"/>
    <s v="Pendants"/>
    <s v="Pendant"/>
    <s v="Gold"/>
    <s v="Rohan"/>
    <n v="2"/>
    <n v="48857"/>
    <n v="97714"/>
    <n v="78481.09"/>
    <n v="19232.91"/>
    <n v="0.19682860183801706"/>
  </r>
  <r>
    <x v="133"/>
    <x v="114"/>
    <s v="Mumbai"/>
    <s v="Necklaces"/>
    <s v="Diamond Necklace"/>
    <s v="Diamond"/>
    <s v="Meera"/>
    <n v="3"/>
    <n v="46657"/>
    <n v="139971"/>
    <n v="94032.74"/>
    <n v="45938.26"/>
    <n v="0.32819841252830945"/>
  </r>
  <r>
    <x v="134"/>
    <x v="115"/>
    <s v="Delhi"/>
    <s v="Anklets"/>
    <s v="Anklet"/>
    <s v="Silver"/>
    <s v="Arjun"/>
    <n v="2"/>
    <n v="71576"/>
    <n v="143152"/>
    <n v="104988.51"/>
    <n v="38163.49"/>
    <n v="0.26659417961327819"/>
  </r>
  <r>
    <x v="135"/>
    <x v="116"/>
    <s v="Jaipur"/>
    <s v="Rings"/>
    <s v="Gold Ring"/>
    <s v="Gold"/>
    <s v="Rohan"/>
    <n v="1"/>
    <n v="35911"/>
    <n v="35911"/>
    <n v="23511.86"/>
    <n v="12399.14"/>
    <n v="0.3452741499818997"/>
  </r>
  <r>
    <x v="136"/>
    <x v="117"/>
    <s v="Mumbai"/>
    <s v="Anklets"/>
    <s v="Anklet"/>
    <s v="Silver"/>
    <s v="Meera"/>
    <n v="1"/>
    <n v="32130"/>
    <n v="32130"/>
    <n v="23411.99"/>
    <n v="8718.01"/>
    <n v="0.27133551198257083"/>
  </r>
  <r>
    <x v="137"/>
    <x v="118"/>
    <s v="Pune"/>
    <s v="Earrings"/>
    <s v="Diamond Earrings"/>
    <s v="Diamond"/>
    <s v="Aisha"/>
    <n v="2"/>
    <n v="51154"/>
    <n v="102308"/>
    <n v="70401.89"/>
    <n v="31906.11"/>
    <n v="0.3118632951479845"/>
  </r>
  <r>
    <x v="138"/>
    <x v="119"/>
    <s v="Pune"/>
    <s v="Pendants"/>
    <s v="Pendant"/>
    <s v="Gold"/>
    <s v="Meera"/>
    <n v="3"/>
    <n v="57626"/>
    <n v="172878"/>
    <n v="141384.01999999999"/>
    <n v="31493.98"/>
    <n v="0.1821745971147283"/>
  </r>
  <r>
    <x v="139"/>
    <x v="104"/>
    <s v="Delhi"/>
    <s v="Earrings"/>
    <s v="Diamond Earrings"/>
    <s v="Diamond"/>
    <s v="Rohan"/>
    <n v="1"/>
    <n v="18255"/>
    <n v="18255"/>
    <n v="12887.32"/>
    <n v="5367.68"/>
    <n v="0.29403889345384826"/>
  </r>
  <r>
    <x v="140"/>
    <x v="120"/>
    <s v="Delhi"/>
    <s v="Earrings"/>
    <s v="Diamond Earrings"/>
    <s v="Diamond"/>
    <s v="Aisha"/>
    <n v="2"/>
    <n v="57824"/>
    <n v="115648"/>
    <n v="83419.89"/>
    <n v="32228.11"/>
    <n v="0.27867416643608189"/>
  </r>
  <r>
    <x v="141"/>
    <x v="121"/>
    <s v="Bangalore"/>
    <s v="Earrings"/>
    <s v="Gold Earrings"/>
    <s v="Gold"/>
    <s v="Meera"/>
    <n v="1"/>
    <n v="70057"/>
    <n v="70057"/>
    <n v="48279.3"/>
    <n v="21777.7"/>
    <n v="0.3108568736885679"/>
  </r>
  <r>
    <x v="142"/>
    <x v="122"/>
    <s v="Delhi"/>
    <s v="Pendants"/>
    <s v="Pendant"/>
    <s v="Gold"/>
    <s v="Rohan"/>
    <n v="3"/>
    <n v="70198"/>
    <n v="210594"/>
    <n v="138161.54"/>
    <n v="72432.460000000006"/>
    <n v="0.34394360713030764"/>
  </r>
  <r>
    <x v="143"/>
    <x v="91"/>
    <s v="Mumbai"/>
    <s v="Bracelets"/>
    <s v="Bracelet"/>
    <s v="Gold"/>
    <s v="Nisha"/>
    <n v="1"/>
    <n v="57226"/>
    <n v="57226"/>
    <n v="37595.82"/>
    <n v="19630.18"/>
    <n v="0.34302904274280921"/>
  </r>
  <r>
    <x v="144"/>
    <x v="123"/>
    <s v="Bangalore"/>
    <s v="Rings"/>
    <s v="Diamond Ring"/>
    <s v="Diamond"/>
    <s v="Aisha"/>
    <n v="2"/>
    <n v="16238"/>
    <n v="32476"/>
    <n v="26945.67"/>
    <n v="5530.33"/>
    <n v="0.17028975243256558"/>
  </r>
  <r>
    <x v="145"/>
    <x v="124"/>
    <s v="Ahmedabad"/>
    <s v="Earrings"/>
    <s v="Diamond Earrings"/>
    <s v="Diamond"/>
    <s v="Karan"/>
    <n v="5"/>
    <n v="13712"/>
    <n v="68560"/>
    <n v="48158.91"/>
    <n v="20401.09"/>
    <n v="0.29756549008168026"/>
  </r>
  <r>
    <x v="146"/>
    <x v="72"/>
    <s v="Ahmedabad"/>
    <s v="Earrings"/>
    <s v="Diamond Earrings"/>
    <s v="Diamond"/>
    <s v="Karan"/>
    <n v="5"/>
    <n v="16563"/>
    <n v="82815"/>
    <n v="54231.51"/>
    <n v="28583.49"/>
    <n v="0.34514870494475641"/>
  </r>
  <r>
    <x v="147"/>
    <x v="40"/>
    <s v="Surat"/>
    <s v="Necklaces"/>
    <s v="Diamond Necklace"/>
    <s v="Diamond"/>
    <s v="Meera"/>
    <n v="4"/>
    <n v="40905"/>
    <n v="163620"/>
    <n v="136247.81"/>
    <n v="27372.19"/>
    <n v="0.16729122356680112"/>
  </r>
  <r>
    <x v="148"/>
    <x v="125"/>
    <s v="Mumbai"/>
    <s v="Bracelets"/>
    <s v="Bangle"/>
    <s v="Gold"/>
    <s v="Meera"/>
    <n v="1"/>
    <n v="47756"/>
    <n v="47756"/>
    <n v="38899.699999999997"/>
    <n v="8856.2999999999993"/>
    <n v="0.1854489488231845"/>
  </r>
  <r>
    <x v="149"/>
    <x v="126"/>
    <s v="Jaipur"/>
    <s v="Necklaces"/>
    <s v="Gold Necklace"/>
    <s v="Gold"/>
    <s v="Rohan"/>
    <n v="3"/>
    <n v="68395"/>
    <n v="205185"/>
    <n v="148219.82999999999"/>
    <n v="56965.17"/>
    <n v="0.27762833540463483"/>
  </r>
  <r>
    <x v="150"/>
    <x v="112"/>
    <s v="Surat"/>
    <s v="Anklets"/>
    <s v="Anklet"/>
    <s v="Silver"/>
    <s v="Arjun"/>
    <n v="4"/>
    <n v="28963"/>
    <n v="115852"/>
    <n v="81034.009999999995"/>
    <n v="34817.99"/>
    <n v="0.30053853192003588"/>
  </r>
  <r>
    <x v="151"/>
    <x v="127"/>
    <s v="Pune"/>
    <s v="Rings"/>
    <s v="Diamond Ring"/>
    <s v="Diamond"/>
    <s v="Aisha"/>
    <n v="5"/>
    <n v="79383"/>
    <n v="396915"/>
    <n v="283854.43"/>
    <n v="113060.57"/>
    <n v="0.28484831764987467"/>
  </r>
  <r>
    <x v="152"/>
    <x v="128"/>
    <s v="Surat"/>
    <s v="Bracelets"/>
    <s v="Bracelet"/>
    <s v="Gold"/>
    <s v="Aisha"/>
    <n v="5"/>
    <n v="19020"/>
    <n v="95100"/>
    <n v="65777.649999999994"/>
    <n v="29322.35"/>
    <n v="0.30833175604626706"/>
  </r>
  <r>
    <x v="153"/>
    <x v="129"/>
    <s v="Delhi"/>
    <s v="Bracelets"/>
    <s v="Bracelet"/>
    <s v="Gold"/>
    <s v="Nisha"/>
    <n v="2"/>
    <n v="38696"/>
    <n v="77392"/>
    <n v="52362.36"/>
    <n v="25029.64"/>
    <n v="0.32341378953897043"/>
  </r>
  <r>
    <x v="154"/>
    <x v="130"/>
    <s v="Jaipur"/>
    <s v="Bracelets"/>
    <s v="Bangle"/>
    <s v="Gold"/>
    <s v="Nisha"/>
    <n v="5"/>
    <n v="23881"/>
    <n v="119405"/>
    <n v="96234.47"/>
    <n v="23170.53"/>
    <n v="0.19404991415769857"/>
  </r>
  <r>
    <x v="155"/>
    <x v="131"/>
    <s v="Ahmedabad"/>
    <s v="Earrings"/>
    <s v="Gold Earrings"/>
    <s v="Gold"/>
    <s v="Karan"/>
    <n v="3"/>
    <n v="56886"/>
    <n v="170658"/>
    <n v="119599.05"/>
    <n v="51058.95"/>
    <n v="0.29918872833386068"/>
  </r>
  <r>
    <x v="156"/>
    <x v="17"/>
    <s v="Mumbai"/>
    <s v="Earrings"/>
    <s v="Gold Earrings"/>
    <s v="Gold"/>
    <s v="Meera"/>
    <n v="2"/>
    <n v="40157"/>
    <n v="80314"/>
    <n v="55986.95"/>
    <n v="24327.05"/>
    <n v="0.30289924546156338"/>
  </r>
  <r>
    <x v="157"/>
    <x v="126"/>
    <s v="Jaipur"/>
    <s v="Earrings"/>
    <s v="Gold Earrings"/>
    <s v="Gold"/>
    <s v="Rohan"/>
    <n v="1"/>
    <n v="59913"/>
    <n v="59913"/>
    <n v="41958.92"/>
    <n v="17954.080000000002"/>
    <n v="0.29966918698779899"/>
  </r>
  <r>
    <x v="158"/>
    <x v="83"/>
    <s v="Jaipur"/>
    <s v="Necklaces"/>
    <s v="Diamond Necklace"/>
    <s v="Diamond"/>
    <s v="Arjun"/>
    <n v="1"/>
    <n v="68806"/>
    <n v="68806"/>
    <n v="58360.639999999999"/>
    <n v="10445.36"/>
    <n v="0.15180885387902218"/>
  </r>
  <r>
    <x v="159"/>
    <x v="83"/>
    <s v="Surat"/>
    <s v="Rings"/>
    <s v="Diamond Ring"/>
    <s v="Diamond"/>
    <s v="Meera"/>
    <n v="4"/>
    <n v="57004"/>
    <n v="228016"/>
    <n v="150051.03"/>
    <n v="77964.97"/>
    <n v="0.34192762788576242"/>
  </r>
  <r>
    <x v="160"/>
    <x v="132"/>
    <s v="Mumbai"/>
    <s v="Earrings"/>
    <s v="Gold Earrings"/>
    <s v="Gold"/>
    <s v="Aisha"/>
    <n v="2"/>
    <n v="33449"/>
    <n v="66898"/>
    <n v="55929.05"/>
    <n v="10968.95"/>
    <n v="0.16396529044216571"/>
  </r>
  <r>
    <x v="161"/>
    <x v="18"/>
    <s v="Jaipur"/>
    <s v="Earrings"/>
    <s v="Diamond Earrings"/>
    <s v="Diamond"/>
    <s v="Rohan"/>
    <n v="5"/>
    <n v="42071"/>
    <n v="210355"/>
    <n v="169335.7"/>
    <n v="41019.300000000003"/>
    <n v="0.19500035654013456"/>
  </r>
  <r>
    <x v="162"/>
    <x v="133"/>
    <s v="Surat"/>
    <s v="Rings"/>
    <s v="Gold Ring"/>
    <s v="Gold"/>
    <s v="Nisha"/>
    <n v="5"/>
    <n v="53835"/>
    <n v="269175"/>
    <n v="186680.69"/>
    <n v="82494.31"/>
    <n v="0.30647092040494101"/>
  </r>
  <r>
    <x v="163"/>
    <x v="134"/>
    <s v="Ahmedabad"/>
    <s v="Earrings"/>
    <s v="Diamond Earrings"/>
    <s v="Diamond"/>
    <s v="Rohan"/>
    <n v="2"/>
    <n v="41412"/>
    <n v="82824"/>
    <n v="54468.97"/>
    <n v="28355.03"/>
    <n v="0.34235282043852022"/>
  </r>
  <r>
    <x v="164"/>
    <x v="126"/>
    <s v="Bangalore"/>
    <s v="Necklaces"/>
    <s v="Diamond Necklace"/>
    <s v="Diamond"/>
    <s v="Aisha"/>
    <n v="4"/>
    <n v="56733"/>
    <n v="226932"/>
    <n v="155908.87"/>
    <n v="71023.13"/>
    <n v="0.31297097809035307"/>
  </r>
  <r>
    <x v="165"/>
    <x v="119"/>
    <s v="Surat"/>
    <s v="Earrings"/>
    <s v="Gold Earrings"/>
    <s v="Gold"/>
    <s v="Rohan"/>
    <n v="4"/>
    <n v="79833"/>
    <n v="319332"/>
    <n v="238445.65"/>
    <n v="80886.350000000006"/>
    <n v="0.25329860458707554"/>
  </r>
  <r>
    <x v="166"/>
    <x v="135"/>
    <s v="Surat"/>
    <s v="Bracelets"/>
    <s v="Bracelet"/>
    <s v="Gold"/>
    <s v="Meera"/>
    <n v="5"/>
    <n v="28257"/>
    <n v="141285"/>
    <n v="109896.61"/>
    <n v="31388.39"/>
    <n v="0.22216364086774959"/>
  </r>
  <r>
    <x v="167"/>
    <x v="136"/>
    <s v="Pune"/>
    <s v="Rings"/>
    <s v="Diamond Ring"/>
    <s v="Diamond"/>
    <s v="Rohan"/>
    <n v="3"/>
    <n v="61711"/>
    <n v="185133"/>
    <n v="156927.57"/>
    <n v="28205.43"/>
    <n v="0.15235225486542109"/>
  </r>
  <r>
    <x v="168"/>
    <x v="86"/>
    <s v="Delhi"/>
    <s v="Earrings"/>
    <s v="Gold Earrings"/>
    <s v="Gold"/>
    <s v="Aisha"/>
    <n v="5"/>
    <n v="54816"/>
    <n v="274080"/>
    <n v="200850.21"/>
    <n v="73229.789999999994"/>
    <n v="0.26718399737302972"/>
  </r>
  <r>
    <x v="169"/>
    <x v="137"/>
    <s v="Bangalore"/>
    <s v="Rings"/>
    <s v="Gold Ring"/>
    <s v="Gold"/>
    <s v="Karan"/>
    <n v="2"/>
    <n v="59213"/>
    <n v="118426"/>
    <n v="94220.479999999996"/>
    <n v="24205.52"/>
    <n v="0.20439362977724487"/>
  </r>
  <r>
    <x v="170"/>
    <x v="138"/>
    <s v="Surat"/>
    <s v="Necklaces"/>
    <s v="Diamond Necklace"/>
    <s v="Diamond"/>
    <s v="Meera"/>
    <n v="4"/>
    <n v="22881"/>
    <n v="91524"/>
    <n v="74507.28"/>
    <n v="17016.72"/>
    <n v="0.18592631440933527"/>
  </r>
  <r>
    <x v="171"/>
    <x v="139"/>
    <s v="Jaipur"/>
    <s v="Bracelets"/>
    <s v="Bracelet"/>
    <s v="Gold"/>
    <s v="Karan"/>
    <n v="2"/>
    <n v="25036"/>
    <n v="50072"/>
    <n v="32695.360000000001"/>
    <n v="17376.64"/>
    <n v="0.34703307237577885"/>
  </r>
  <r>
    <x v="172"/>
    <x v="136"/>
    <s v="Mumbai"/>
    <s v="Pendants"/>
    <s v="Pendant"/>
    <s v="Gold"/>
    <s v="Nisha"/>
    <n v="1"/>
    <n v="56607"/>
    <n v="56607"/>
    <n v="45141.24"/>
    <n v="11465.76"/>
    <n v="0.20255021463776565"/>
  </r>
  <r>
    <x v="173"/>
    <x v="140"/>
    <s v="Mumbai"/>
    <s v="Necklaces"/>
    <s v="Gold Necklace"/>
    <s v="Gold"/>
    <s v="Karan"/>
    <n v="2"/>
    <n v="76309"/>
    <n v="152618"/>
    <n v="104445.21"/>
    <n v="48172.79"/>
    <n v="0.31564291236944531"/>
  </r>
  <r>
    <x v="174"/>
    <x v="141"/>
    <s v="Surat"/>
    <s v="Rings"/>
    <s v="Diamond Ring"/>
    <s v="Diamond"/>
    <s v="Meera"/>
    <n v="2"/>
    <n v="47533"/>
    <n v="95066"/>
    <n v="64200.93"/>
    <n v="30865.07"/>
    <n v="0.32466991353375552"/>
  </r>
  <r>
    <x v="175"/>
    <x v="69"/>
    <s v="Delhi"/>
    <s v="Rings"/>
    <s v="Gold Ring"/>
    <s v="Gold"/>
    <s v="Karan"/>
    <n v="5"/>
    <n v="58842"/>
    <n v="294210"/>
    <n v="196314.23999999999"/>
    <n v="97895.76"/>
    <n v="0.33274110329356582"/>
  </r>
  <r>
    <x v="176"/>
    <x v="142"/>
    <s v="Pune"/>
    <s v="Anklets"/>
    <s v="Anklet"/>
    <s v="Silver"/>
    <s v="Rohan"/>
    <n v="2"/>
    <n v="61016"/>
    <n v="122032"/>
    <n v="94324.12"/>
    <n v="27707.88"/>
    <n v="0.22705421528779338"/>
  </r>
  <r>
    <x v="177"/>
    <x v="125"/>
    <s v="Bangalore"/>
    <s v="Necklaces"/>
    <s v="Diamond Necklace"/>
    <s v="Diamond"/>
    <s v="Meera"/>
    <n v="5"/>
    <n v="36591"/>
    <n v="182955"/>
    <n v="120447.05"/>
    <n v="62507.95"/>
    <n v="0.34165751140990952"/>
  </r>
  <r>
    <x v="178"/>
    <x v="143"/>
    <s v="Mumbai"/>
    <s v="Pendants"/>
    <s v="Pendant"/>
    <s v="Gold"/>
    <s v="Meera"/>
    <n v="1"/>
    <n v="27590"/>
    <n v="27590"/>
    <n v="19296.77"/>
    <n v="8293.23"/>
    <n v="0.30058825661471544"/>
  </r>
  <r>
    <x v="179"/>
    <x v="84"/>
    <s v="Surat"/>
    <s v="Necklaces"/>
    <s v="Diamond Necklace"/>
    <s v="Diamond"/>
    <s v="Arjun"/>
    <n v="1"/>
    <n v="50493"/>
    <n v="50493"/>
    <n v="34009.370000000003"/>
    <n v="16483.63"/>
    <n v="0.32645376586853625"/>
  </r>
  <r>
    <x v="180"/>
    <x v="144"/>
    <s v="Delhi"/>
    <s v="Anklets"/>
    <s v="Anklet"/>
    <s v="Silver"/>
    <s v="Arjun"/>
    <n v="3"/>
    <n v="63059"/>
    <n v="189177"/>
    <n v="134626.35999999999"/>
    <n v="54550.64"/>
    <n v="0.28835767561595754"/>
  </r>
  <r>
    <x v="181"/>
    <x v="145"/>
    <s v="Delhi"/>
    <s v="Necklaces"/>
    <s v="Diamond Necklace"/>
    <s v="Diamond"/>
    <s v="Meera"/>
    <n v="3"/>
    <n v="66561"/>
    <n v="199683"/>
    <n v="149905.16"/>
    <n v="49777.84"/>
    <n v="0.24928431564028986"/>
  </r>
  <r>
    <x v="182"/>
    <x v="77"/>
    <s v="Surat"/>
    <s v="Necklaces"/>
    <s v="Gold Necklace"/>
    <s v="Gold"/>
    <s v="Aisha"/>
    <n v="4"/>
    <n v="68984"/>
    <n v="275936"/>
    <n v="192341.24"/>
    <n v="83594.759999999995"/>
    <n v="0.30294981444972746"/>
  </r>
  <r>
    <x v="183"/>
    <x v="146"/>
    <s v="Bangalore"/>
    <s v="Anklets"/>
    <s v="Anklet"/>
    <s v="Silver"/>
    <s v="Meera"/>
    <n v="4"/>
    <n v="60473"/>
    <n v="241892"/>
    <n v="162409.97"/>
    <n v="79482.03"/>
    <n v="0.32858478163808641"/>
  </r>
  <r>
    <x v="184"/>
    <x v="147"/>
    <s v="Ahmedabad"/>
    <s v="Necklaces"/>
    <s v="Gold Necklace"/>
    <s v="Gold"/>
    <s v="Meera"/>
    <n v="1"/>
    <n v="65929"/>
    <n v="65929"/>
    <n v="49504"/>
    <n v="16425"/>
    <n v="0.24913164161446405"/>
  </r>
  <r>
    <x v="185"/>
    <x v="148"/>
    <s v="Surat"/>
    <s v="Rings"/>
    <s v="Gold Ring"/>
    <s v="Gold"/>
    <s v="Nisha"/>
    <n v="1"/>
    <n v="49120"/>
    <n v="49120"/>
    <n v="39567.5"/>
    <n v="9552.5"/>
    <n v="0.19447271986970685"/>
  </r>
  <r>
    <x v="186"/>
    <x v="149"/>
    <s v="Surat"/>
    <s v="Pendants"/>
    <s v="Pendant"/>
    <s v="Gold"/>
    <s v="Aisha"/>
    <n v="4"/>
    <n v="25850"/>
    <n v="103400"/>
    <n v="67744.710000000006"/>
    <n v="35655.29"/>
    <n v="0.34482872340425536"/>
  </r>
  <r>
    <x v="187"/>
    <x v="71"/>
    <s v="Jaipur"/>
    <s v="Rings"/>
    <s v="Diamond Ring"/>
    <s v="Diamond"/>
    <s v="Nisha"/>
    <n v="1"/>
    <n v="33389"/>
    <n v="33389"/>
    <n v="22581.77"/>
    <n v="10807.23"/>
    <n v="0.32367636047800175"/>
  </r>
  <r>
    <x v="188"/>
    <x v="79"/>
    <s v="Ahmedabad"/>
    <s v="Bracelets"/>
    <s v="Bangle"/>
    <s v="Gold"/>
    <s v="Rohan"/>
    <n v="2"/>
    <n v="16587"/>
    <n v="33174"/>
    <n v="27090.13"/>
    <n v="6083.87"/>
    <n v="0.18339271718815939"/>
  </r>
  <r>
    <x v="189"/>
    <x v="150"/>
    <s v="Bangalore"/>
    <s v="Anklets"/>
    <s v="Anklet"/>
    <s v="Silver"/>
    <s v="Karan"/>
    <n v="3"/>
    <n v="44043"/>
    <n v="132129"/>
    <n v="109800.84"/>
    <n v="22328.16"/>
    <n v="0.16898758031923347"/>
  </r>
  <r>
    <x v="190"/>
    <x v="81"/>
    <s v="Mumbai"/>
    <s v="Bracelets"/>
    <s v="Bangle"/>
    <s v="Gold"/>
    <s v="Karan"/>
    <n v="4"/>
    <n v="35305"/>
    <n v="141220"/>
    <n v="108510.28"/>
    <n v="32709.72"/>
    <n v="0.23162243308313271"/>
  </r>
  <r>
    <x v="191"/>
    <x v="151"/>
    <s v="Jaipur"/>
    <s v="Anklets"/>
    <s v="Anklet"/>
    <s v="Silver"/>
    <s v="Rohan"/>
    <n v="3"/>
    <n v="12827"/>
    <n v="38481"/>
    <n v="26543.75"/>
    <n v="11937.25"/>
    <n v="0.31021153296432008"/>
  </r>
  <r>
    <x v="192"/>
    <x v="19"/>
    <s v="Mumbai"/>
    <s v="Bracelets"/>
    <s v="Bracelet"/>
    <s v="Gold"/>
    <s v="Nisha"/>
    <n v="3"/>
    <n v="57393"/>
    <n v="172179"/>
    <n v="117727.12"/>
    <n v="54451.88"/>
    <n v="0.31625157539537341"/>
  </r>
  <r>
    <x v="193"/>
    <x v="152"/>
    <s v="Surat"/>
    <s v="Earrings"/>
    <s v="Gold Earrings"/>
    <s v="Gold"/>
    <s v="Arjun"/>
    <n v="3"/>
    <n v="67380"/>
    <n v="202140"/>
    <n v="153835.82"/>
    <n v="48304.18"/>
    <n v="0.23896398535668348"/>
  </r>
  <r>
    <x v="194"/>
    <x v="153"/>
    <s v="Pune"/>
    <s v="Anklets"/>
    <s v="Anklet"/>
    <s v="Silver"/>
    <s v="Aisha"/>
    <n v="5"/>
    <n v="59675"/>
    <n v="298375"/>
    <n v="237979.31"/>
    <n v="60395.69"/>
    <n v="0.20241538332635109"/>
  </r>
  <r>
    <x v="195"/>
    <x v="154"/>
    <s v="Ahmedabad"/>
    <s v="Earrings"/>
    <s v="Diamond Earrings"/>
    <s v="Diamond"/>
    <s v="Meera"/>
    <n v="5"/>
    <n v="27162"/>
    <n v="135810"/>
    <n v="98061.65"/>
    <n v="37748.35"/>
    <n v="0.27794970915249245"/>
  </r>
  <r>
    <x v="196"/>
    <x v="155"/>
    <s v="Delhi"/>
    <s v="Rings"/>
    <s v="Diamond Ring"/>
    <s v="Diamond"/>
    <s v="Rohan"/>
    <n v="5"/>
    <n v="14329"/>
    <n v="71645"/>
    <n v="50816.13"/>
    <n v="20828.87"/>
    <n v="0.29072328843603878"/>
  </r>
  <r>
    <x v="197"/>
    <x v="142"/>
    <s v="Ahmedabad"/>
    <s v="Pendants"/>
    <s v="Pendant"/>
    <s v="Gold"/>
    <s v="Karan"/>
    <n v="5"/>
    <n v="48979"/>
    <n v="244895"/>
    <n v="195085.26"/>
    <n v="49809.74"/>
    <n v="0.20339222932277098"/>
  </r>
  <r>
    <x v="198"/>
    <x v="156"/>
    <s v="Mumbai"/>
    <s v="Rings"/>
    <s v="Gold Ring"/>
    <s v="Gold"/>
    <s v="Rohan"/>
    <n v="5"/>
    <n v="64653"/>
    <n v="323265"/>
    <n v="237126.97"/>
    <n v="86138.03"/>
    <n v="0.26646259260977834"/>
  </r>
  <r>
    <x v="199"/>
    <x v="157"/>
    <s v="Surat"/>
    <s v="Earrings"/>
    <s v="Diamond Earrings"/>
    <s v="Diamond"/>
    <s v="Rohan"/>
    <n v="2"/>
    <n v="13974"/>
    <n v="27948"/>
    <n v="18290.79"/>
    <n v="9657.2099999999991"/>
    <n v="0.34554207814512661"/>
  </r>
  <r>
    <x v="200"/>
    <x v="158"/>
    <s v="Jaipur"/>
    <s v="Rings"/>
    <s v="Gold Ring"/>
    <s v="Gold"/>
    <s v="Karan"/>
    <n v="1"/>
    <n v="76562"/>
    <n v="76562"/>
    <n v="55234.15"/>
    <n v="21327.85"/>
    <n v="0.27856965596510014"/>
  </r>
  <r>
    <x v="201"/>
    <x v="159"/>
    <s v="Delhi"/>
    <s v="Necklaces"/>
    <s v="Diamond Necklace"/>
    <s v="Diamond"/>
    <s v="Arjun"/>
    <n v="5"/>
    <n v="25527"/>
    <n v="127635"/>
    <n v="88174.96"/>
    <n v="39460.04"/>
    <n v="0.30916316057507737"/>
  </r>
  <r>
    <x v="202"/>
    <x v="150"/>
    <s v="Bangalore"/>
    <s v="Anklets"/>
    <s v="Anklet"/>
    <s v="Silver"/>
    <s v="Meera"/>
    <n v="2"/>
    <n v="9849"/>
    <n v="19698"/>
    <n v="16493.490000000002"/>
    <n v="3204.51"/>
    <n v="0.16268199817240331"/>
  </r>
  <r>
    <x v="203"/>
    <x v="87"/>
    <s v="Pune"/>
    <s v="Necklaces"/>
    <s v="Diamond Necklace"/>
    <s v="Diamond"/>
    <s v="Rohan"/>
    <n v="1"/>
    <n v="16345"/>
    <n v="16345"/>
    <n v="12710.56"/>
    <n v="3634.44"/>
    <n v="0.22235790761700827"/>
  </r>
  <r>
    <x v="204"/>
    <x v="160"/>
    <s v="Delhi"/>
    <s v="Earrings"/>
    <s v="Gold Earrings"/>
    <s v="Gold"/>
    <s v="Karan"/>
    <n v="1"/>
    <n v="53918"/>
    <n v="53918"/>
    <n v="41459.97"/>
    <n v="12458.03"/>
    <n v="0.23105512073889983"/>
  </r>
  <r>
    <x v="205"/>
    <x v="161"/>
    <s v="Delhi"/>
    <s v="Anklets"/>
    <s v="Anklet"/>
    <s v="Silver"/>
    <s v="Arjun"/>
    <n v="4"/>
    <n v="40571"/>
    <n v="162284"/>
    <n v="110843.19"/>
    <n v="51440.81"/>
    <n v="0.31698017056518202"/>
  </r>
  <r>
    <x v="206"/>
    <x v="33"/>
    <s v="Surat"/>
    <s v="Rings"/>
    <s v="Gold Ring"/>
    <s v="Gold"/>
    <s v="Aisha"/>
    <n v="1"/>
    <n v="61213"/>
    <n v="61213"/>
    <n v="42061.39"/>
    <n v="19151.61"/>
    <n v="0.31286834495940408"/>
  </r>
  <r>
    <x v="207"/>
    <x v="162"/>
    <s v="Surat"/>
    <s v="Necklaces"/>
    <s v="Gold Necklace"/>
    <s v="Gold"/>
    <s v="Aisha"/>
    <n v="5"/>
    <n v="33855"/>
    <n v="169275"/>
    <n v="114845.18"/>
    <n v="54429.82"/>
    <n v="0.32154671392704182"/>
  </r>
  <r>
    <x v="208"/>
    <x v="137"/>
    <s v="Jaipur"/>
    <s v="Necklaces"/>
    <s v="Diamond Necklace"/>
    <s v="Diamond"/>
    <s v="Arjun"/>
    <n v="5"/>
    <n v="62426"/>
    <n v="312130"/>
    <n v="253660.61"/>
    <n v="58469.39"/>
    <n v="0.18732383942588024"/>
  </r>
  <r>
    <x v="209"/>
    <x v="163"/>
    <s v="Jaipur"/>
    <s v="Necklaces"/>
    <s v="Gold Necklace"/>
    <s v="Gold"/>
    <s v="Karan"/>
    <n v="3"/>
    <n v="14355"/>
    <n v="43065"/>
    <n v="36554.1"/>
    <n v="6510.9"/>
    <n v="0.15118773946360153"/>
  </r>
  <r>
    <x v="210"/>
    <x v="164"/>
    <s v="Pune"/>
    <s v="Bracelets"/>
    <s v="Bangle"/>
    <s v="Gold"/>
    <s v="Arjun"/>
    <n v="4"/>
    <n v="65232"/>
    <n v="260928"/>
    <n v="208491.25"/>
    <n v="52436.75"/>
    <n v="0.20096252606082904"/>
  </r>
  <r>
    <x v="211"/>
    <x v="165"/>
    <s v="Surat"/>
    <s v="Bracelets"/>
    <s v="Bangle"/>
    <s v="Gold"/>
    <s v="Nisha"/>
    <n v="4"/>
    <n v="30988"/>
    <n v="123952"/>
    <n v="86170.15"/>
    <n v="37781.85"/>
    <n v="0.30481032980508582"/>
  </r>
  <r>
    <x v="212"/>
    <x v="137"/>
    <s v="Ahmedabad"/>
    <s v="Rings"/>
    <s v="Diamond Ring"/>
    <s v="Diamond"/>
    <s v="Rohan"/>
    <n v="1"/>
    <n v="24156"/>
    <n v="24156"/>
    <n v="17322.349999999999"/>
    <n v="6833.65"/>
    <n v="0.28289658883921176"/>
  </r>
  <r>
    <x v="213"/>
    <x v="166"/>
    <s v="Pune"/>
    <s v="Earrings"/>
    <s v="Gold Earrings"/>
    <s v="Gold"/>
    <s v="Aisha"/>
    <n v="5"/>
    <n v="65154"/>
    <n v="325770"/>
    <n v="256428.79"/>
    <n v="69341.210000000006"/>
    <n v="0.21285327071246588"/>
  </r>
  <r>
    <x v="214"/>
    <x v="167"/>
    <s v="Ahmedabad"/>
    <s v="Pendants"/>
    <s v="Pendant"/>
    <s v="Gold"/>
    <s v="Karan"/>
    <n v="2"/>
    <n v="19196"/>
    <n v="38392"/>
    <n v="31712.14"/>
    <n v="6679.86"/>
    <n v="0.17399093561158574"/>
  </r>
  <r>
    <x v="215"/>
    <x v="130"/>
    <s v="Mumbai"/>
    <s v="Rings"/>
    <s v="Gold Ring"/>
    <s v="Gold"/>
    <s v="Karan"/>
    <n v="2"/>
    <n v="28864"/>
    <n v="57728"/>
    <n v="46137.97"/>
    <n v="11590.03"/>
    <n v="0.20076964384700666"/>
  </r>
  <r>
    <x v="216"/>
    <x v="168"/>
    <s v="Mumbai"/>
    <s v="Earrings"/>
    <s v="Diamond Earrings"/>
    <s v="Diamond"/>
    <s v="Meera"/>
    <n v="5"/>
    <n v="39348"/>
    <n v="196740"/>
    <n v="142811.56"/>
    <n v="53928.44"/>
    <n v="0.27411019619802784"/>
  </r>
  <r>
    <x v="217"/>
    <x v="66"/>
    <s v="Delhi"/>
    <s v="Pendants"/>
    <s v="Pendant"/>
    <s v="Gold"/>
    <s v="Meera"/>
    <n v="1"/>
    <n v="11475"/>
    <n v="11475"/>
    <n v="8462.16"/>
    <n v="3012.84"/>
    <n v="0.26255686274509804"/>
  </r>
  <r>
    <x v="218"/>
    <x v="43"/>
    <s v="Jaipur"/>
    <s v="Necklaces"/>
    <s v="Diamond Necklace"/>
    <s v="Diamond"/>
    <s v="Karan"/>
    <n v="4"/>
    <n v="18197"/>
    <n v="72788"/>
    <n v="55540.22"/>
    <n v="17247.78"/>
    <n v="0.23695911413969334"/>
  </r>
  <r>
    <x v="219"/>
    <x v="169"/>
    <s v="Mumbai"/>
    <s v="Necklaces"/>
    <s v="Gold Necklace"/>
    <s v="Gold"/>
    <s v="Aisha"/>
    <n v="1"/>
    <n v="21982"/>
    <n v="21982"/>
    <n v="17022.73"/>
    <n v="4959.2700000000004"/>
    <n v="0.22560595032299155"/>
  </r>
  <r>
    <x v="220"/>
    <x v="78"/>
    <s v="Ahmedabad"/>
    <s v="Necklaces"/>
    <s v="Gold Necklace"/>
    <s v="Gold"/>
    <s v="Rohan"/>
    <n v="1"/>
    <n v="12046"/>
    <n v="12046"/>
    <n v="7930.24"/>
    <n v="4115.76"/>
    <n v="0.34167026398804584"/>
  </r>
  <r>
    <x v="221"/>
    <x v="4"/>
    <s v="Pune"/>
    <s v="Rings"/>
    <s v="Gold Ring"/>
    <s v="Gold"/>
    <s v="Aisha"/>
    <n v="1"/>
    <n v="55632"/>
    <n v="55632"/>
    <n v="38378.43"/>
    <n v="17253.57"/>
    <n v="0.31013751078515961"/>
  </r>
  <r>
    <x v="222"/>
    <x v="170"/>
    <s v="Pune"/>
    <s v="Pendants"/>
    <s v="Pendant"/>
    <s v="Gold"/>
    <s v="Aisha"/>
    <n v="4"/>
    <n v="22039"/>
    <n v="88156"/>
    <n v="61648.86"/>
    <n v="26507.14"/>
    <n v="0.30068446844230684"/>
  </r>
  <r>
    <x v="223"/>
    <x v="73"/>
    <s v="Surat"/>
    <s v="Necklaces"/>
    <s v="Diamond Necklace"/>
    <s v="Diamond"/>
    <s v="Aisha"/>
    <n v="1"/>
    <n v="45665"/>
    <n v="45665"/>
    <n v="34039.74"/>
    <n v="11625.26"/>
    <n v="0.25457702835869922"/>
  </r>
  <r>
    <x v="224"/>
    <x v="171"/>
    <s v="Surat"/>
    <s v="Necklaces"/>
    <s v="Gold Necklace"/>
    <s v="Gold"/>
    <s v="Nisha"/>
    <n v="3"/>
    <n v="49830"/>
    <n v="149490"/>
    <n v="107229.65"/>
    <n v="42260.35"/>
    <n v="0.28269683590875644"/>
  </r>
  <r>
    <x v="225"/>
    <x v="123"/>
    <s v="Surat"/>
    <s v="Earrings"/>
    <s v="Gold Earrings"/>
    <s v="Gold"/>
    <s v="Karan"/>
    <n v="3"/>
    <n v="14344"/>
    <n v="43032"/>
    <n v="34130.94"/>
    <n v="8901.06"/>
    <n v="0.2068474623535973"/>
  </r>
  <r>
    <x v="226"/>
    <x v="81"/>
    <s v="Ahmedabad"/>
    <s v="Earrings"/>
    <s v="Diamond Earrings"/>
    <s v="Diamond"/>
    <s v="Arjun"/>
    <n v="4"/>
    <n v="45702"/>
    <n v="182808"/>
    <n v="141430.35"/>
    <n v="41377.65"/>
    <n v="0.22634485361690956"/>
  </r>
  <r>
    <x v="227"/>
    <x v="172"/>
    <s v="Bangalore"/>
    <s v="Rings"/>
    <s v="Gold Ring"/>
    <s v="Gold"/>
    <s v="Meera"/>
    <n v="4"/>
    <n v="75976"/>
    <n v="303904"/>
    <n v="244522.73"/>
    <n v="59381.27"/>
    <n v="0.19539482863009369"/>
  </r>
  <r>
    <x v="228"/>
    <x v="152"/>
    <s v="Delhi"/>
    <s v="Earrings"/>
    <s v="Diamond Earrings"/>
    <s v="Diamond"/>
    <s v="Nisha"/>
    <n v="5"/>
    <n v="36386"/>
    <n v="181930"/>
    <n v="144248.29999999999"/>
    <n v="37681.699999999997"/>
    <n v="0.20712196998845708"/>
  </r>
  <r>
    <x v="229"/>
    <x v="173"/>
    <s v="Jaipur"/>
    <s v="Rings"/>
    <s v="Diamond Ring"/>
    <s v="Diamond"/>
    <s v="Karan"/>
    <n v="4"/>
    <n v="8170"/>
    <n v="32680"/>
    <n v="24663.96"/>
    <n v="8016.04"/>
    <n v="0.24528886168910649"/>
  </r>
  <r>
    <x v="230"/>
    <x v="74"/>
    <s v="Bangalore"/>
    <s v="Earrings"/>
    <s v="Gold Earrings"/>
    <s v="Gold"/>
    <s v="Aisha"/>
    <n v="3"/>
    <n v="72333"/>
    <n v="216999"/>
    <n v="145202.23000000001"/>
    <n v="71796.77"/>
    <n v="0.33086221595491228"/>
  </r>
  <r>
    <x v="231"/>
    <x v="174"/>
    <s v="Delhi"/>
    <s v="Necklaces"/>
    <s v="Gold Necklace"/>
    <s v="Gold"/>
    <s v="Arjun"/>
    <n v="5"/>
    <n v="42154"/>
    <n v="210770"/>
    <n v="161365.82"/>
    <n v="49404.18"/>
    <n v="0.23439853869146463"/>
  </r>
  <r>
    <x v="232"/>
    <x v="78"/>
    <s v="Ahmedabad"/>
    <s v="Necklaces"/>
    <s v="Gold Necklace"/>
    <s v="Gold"/>
    <s v="Rohan"/>
    <n v="2"/>
    <n v="73315"/>
    <n v="146630"/>
    <n v="100171.49"/>
    <n v="46458.51"/>
    <n v="0.31684177862647483"/>
  </r>
  <r>
    <x v="233"/>
    <x v="120"/>
    <s v="Delhi"/>
    <s v="Rings"/>
    <s v="Diamond Ring"/>
    <s v="Diamond"/>
    <s v="Nisha"/>
    <n v="1"/>
    <n v="50813"/>
    <n v="50813"/>
    <n v="36642.44"/>
    <n v="14170.56"/>
    <n v="0.27887666542026646"/>
  </r>
  <r>
    <x v="234"/>
    <x v="121"/>
    <s v="Delhi"/>
    <s v="Bracelets"/>
    <s v="Bracelet"/>
    <s v="Gold"/>
    <s v="Nisha"/>
    <n v="4"/>
    <n v="11299"/>
    <n v="45196"/>
    <n v="32739.53"/>
    <n v="12456.47"/>
    <n v="0.27561000973537481"/>
  </r>
  <r>
    <x v="235"/>
    <x v="175"/>
    <s v="Ahmedabad"/>
    <s v="Earrings"/>
    <s v="Gold Earrings"/>
    <s v="Gold"/>
    <s v="Meera"/>
    <n v="5"/>
    <n v="30427"/>
    <n v="152135"/>
    <n v="110428.87"/>
    <n v="41706.129999999997"/>
    <n v="0.27413895553291484"/>
  </r>
  <r>
    <x v="236"/>
    <x v="33"/>
    <s v="Delhi"/>
    <s v="Necklaces"/>
    <s v="Diamond Necklace"/>
    <s v="Diamond"/>
    <s v="Rohan"/>
    <n v="5"/>
    <n v="12441"/>
    <n v="62205"/>
    <n v="44768.76"/>
    <n v="17436.240000000002"/>
    <n v="0.28030286954424888"/>
  </r>
  <r>
    <x v="237"/>
    <x v="87"/>
    <s v="Jaipur"/>
    <s v="Earrings"/>
    <s v="Diamond Earrings"/>
    <s v="Diamond"/>
    <s v="Rohan"/>
    <n v="5"/>
    <n v="50380"/>
    <n v="251900"/>
    <n v="172276.96"/>
    <n v="79623.039999999994"/>
    <n v="0.31608987693529178"/>
  </r>
  <r>
    <x v="238"/>
    <x v="176"/>
    <s v="Pune"/>
    <s v="Bracelets"/>
    <s v="Bangle"/>
    <s v="Gold"/>
    <s v="Karan"/>
    <n v="2"/>
    <n v="24522"/>
    <n v="49044"/>
    <n v="35155.269999999997"/>
    <n v="13888.73"/>
    <n v="0.28318917706549218"/>
  </r>
  <r>
    <x v="239"/>
    <x v="166"/>
    <s v="Jaipur"/>
    <s v="Necklaces"/>
    <s v="Diamond Necklace"/>
    <s v="Diamond"/>
    <s v="Rohan"/>
    <n v="3"/>
    <n v="28262"/>
    <n v="84786"/>
    <n v="67376.649999999994"/>
    <n v="17409.349999999999"/>
    <n v="0.20533283796853252"/>
  </r>
  <r>
    <x v="240"/>
    <x v="177"/>
    <s v="Pune"/>
    <s v="Necklaces"/>
    <s v="Diamond Necklace"/>
    <s v="Diamond"/>
    <s v="Karan"/>
    <n v="5"/>
    <n v="53695"/>
    <n v="268475"/>
    <n v="183149.58"/>
    <n v="85325.42"/>
    <n v="0.31781514107458797"/>
  </r>
  <r>
    <x v="241"/>
    <x v="26"/>
    <s v="Mumbai"/>
    <s v="Earrings"/>
    <s v="Diamond Earrings"/>
    <s v="Diamond"/>
    <s v="Karan"/>
    <n v="2"/>
    <n v="21321"/>
    <n v="42642"/>
    <n v="29384.02"/>
    <n v="13257.98"/>
    <n v="0.31091365320575959"/>
  </r>
  <r>
    <x v="242"/>
    <x v="97"/>
    <s v="Mumbai"/>
    <s v="Necklaces"/>
    <s v="Gold Necklace"/>
    <s v="Gold"/>
    <s v="Karan"/>
    <n v="4"/>
    <n v="43890"/>
    <n v="175560"/>
    <n v="121002.66"/>
    <n v="54557.34"/>
    <n v="0.31076179084073818"/>
  </r>
  <r>
    <x v="243"/>
    <x v="178"/>
    <s v="Ahmedabad"/>
    <s v="Rings"/>
    <s v="Diamond Ring"/>
    <s v="Diamond"/>
    <s v="Rohan"/>
    <n v="4"/>
    <n v="12447"/>
    <n v="49788"/>
    <n v="32487.84"/>
    <n v="17300.16"/>
    <n v="0.34747650036153288"/>
  </r>
  <r>
    <x v="244"/>
    <x v="99"/>
    <s v="Pune"/>
    <s v="Bracelets"/>
    <s v="Bracelet"/>
    <s v="Gold"/>
    <s v="Rohan"/>
    <n v="3"/>
    <n v="68722"/>
    <n v="206166"/>
    <n v="134919.87"/>
    <n v="71246.13"/>
    <n v="0.34557652571229014"/>
  </r>
  <r>
    <x v="245"/>
    <x v="91"/>
    <s v="Jaipur"/>
    <s v="Earrings"/>
    <s v="Gold Earrings"/>
    <s v="Gold"/>
    <s v="Nisha"/>
    <n v="1"/>
    <n v="39756"/>
    <n v="39756"/>
    <n v="33061.120000000003"/>
    <n v="6694.88"/>
    <n v="0.16839923533554685"/>
  </r>
  <r>
    <x v="246"/>
    <x v="179"/>
    <s v="Pune"/>
    <s v="Bracelets"/>
    <s v="Bracelet"/>
    <s v="Gold"/>
    <s v="Arjun"/>
    <n v="4"/>
    <n v="37958"/>
    <n v="151832"/>
    <n v="118972.39"/>
    <n v="32859.61"/>
    <n v="0.21642084672532799"/>
  </r>
  <r>
    <x v="247"/>
    <x v="180"/>
    <s v="Bangalore"/>
    <s v="Anklets"/>
    <s v="Anklet"/>
    <s v="Silver"/>
    <s v="Rohan"/>
    <n v="2"/>
    <n v="24281"/>
    <n v="48562"/>
    <n v="35973.78"/>
    <n v="12588.22"/>
    <n v="0.25921955438408628"/>
  </r>
  <r>
    <x v="248"/>
    <x v="78"/>
    <s v="Ahmedabad"/>
    <s v="Earrings"/>
    <s v="Diamond Earrings"/>
    <s v="Diamond"/>
    <s v="Nisha"/>
    <n v="1"/>
    <n v="62995"/>
    <n v="62995"/>
    <n v="44000.7"/>
    <n v="18994.3"/>
    <n v="0.30152075561552505"/>
  </r>
  <r>
    <x v="249"/>
    <x v="3"/>
    <s v="Pune"/>
    <s v="Bracelets"/>
    <s v="Bracelet"/>
    <s v="Gold"/>
    <s v="Nisha"/>
    <n v="2"/>
    <n v="40775"/>
    <n v="81550"/>
    <n v="66861.89"/>
    <n v="14688.11"/>
    <n v="0.18011171060698958"/>
  </r>
  <r>
    <x v="250"/>
    <x v="64"/>
    <s v="Delhi"/>
    <s v="Bracelets"/>
    <s v="Bangle"/>
    <s v="Gold"/>
    <s v="Aisha"/>
    <n v="4"/>
    <n v="75928"/>
    <n v="303712"/>
    <n v="238428.79999999999"/>
    <n v="65283.199999999997"/>
    <n v="0.21495100621641555"/>
  </r>
  <r>
    <x v="251"/>
    <x v="160"/>
    <s v="Pune"/>
    <s v="Necklaces"/>
    <s v="Gold Necklace"/>
    <s v="Gold"/>
    <s v="Karan"/>
    <n v="4"/>
    <n v="72204"/>
    <n v="288816"/>
    <n v="240190.47"/>
    <n v="48625.53"/>
    <n v="0.16836162123982051"/>
  </r>
  <r>
    <x v="252"/>
    <x v="44"/>
    <s v="Surat"/>
    <s v="Rings"/>
    <s v="Diamond Ring"/>
    <s v="Diamond"/>
    <s v="Karan"/>
    <n v="2"/>
    <n v="29081"/>
    <n v="58162"/>
    <n v="46136.61"/>
    <n v="12025.39"/>
    <n v="0.2067568171658471"/>
  </r>
  <r>
    <x v="253"/>
    <x v="181"/>
    <s v="Jaipur"/>
    <s v="Necklaces"/>
    <s v="Diamond Necklace"/>
    <s v="Diamond"/>
    <s v="Karan"/>
    <n v="5"/>
    <n v="67871"/>
    <n v="339355"/>
    <n v="257301.36"/>
    <n v="82053.64"/>
    <n v="0.24179293070678198"/>
  </r>
  <r>
    <x v="254"/>
    <x v="142"/>
    <s v="Jaipur"/>
    <s v="Bracelets"/>
    <s v="Bangle"/>
    <s v="Gold"/>
    <s v="Aisha"/>
    <n v="3"/>
    <n v="76378"/>
    <n v="229134"/>
    <n v="164648.9"/>
    <n v="64485.1"/>
    <n v="0.28142964378922375"/>
  </r>
  <r>
    <x v="255"/>
    <x v="182"/>
    <s v="Mumbai"/>
    <s v="Bracelets"/>
    <s v="Bangle"/>
    <s v="Gold"/>
    <s v="Nisha"/>
    <n v="4"/>
    <n v="75343"/>
    <n v="301372"/>
    <n v="241863.18"/>
    <n v="59508.82"/>
    <n v="0.19745968437678352"/>
  </r>
  <r>
    <x v="256"/>
    <x v="183"/>
    <s v="Pune"/>
    <s v="Rings"/>
    <s v="Diamond Ring"/>
    <s v="Diamond"/>
    <s v="Arjun"/>
    <n v="1"/>
    <n v="41090"/>
    <n v="41090"/>
    <n v="28963.17"/>
    <n v="12126.83"/>
    <n v="0.29512849841810657"/>
  </r>
  <r>
    <x v="257"/>
    <x v="184"/>
    <s v="Surat"/>
    <s v="Bracelets"/>
    <s v="Bracelet"/>
    <s v="Gold"/>
    <s v="Aisha"/>
    <n v="4"/>
    <n v="63121"/>
    <n v="252484"/>
    <n v="195855.11"/>
    <n v="56628.89"/>
    <n v="0.22428704393149665"/>
  </r>
  <r>
    <x v="258"/>
    <x v="104"/>
    <s v="Jaipur"/>
    <s v="Earrings"/>
    <s v="Diamond Earrings"/>
    <s v="Diamond"/>
    <s v="Karan"/>
    <n v="2"/>
    <n v="47779"/>
    <n v="95558"/>
    <n v="76283.39"/>
    <n v="19274.61"/>
    <n v="0.20170587496598924"/>
  </r>
  <r>
    <x v="259"/>
    <x v="185"/>
    <s v="Mumbai"/>
    <s v="Pendants"/>
    <s v="Pendant"/>
    <s v="Gold"/>
    <s v="Meera"/>
    <n v="2"/>
    <n v="29565"/>
    <n v="59130"/>
    <n v="39963.589999999997"/>
    <n v="19166.41"/>
    <n v="0.32414019956029089"/>
  </r>
  <r>
    <x v="260"/>
    <x v="186"/>
    <s v="Bangalore"/>
    <s v="Rings"/>
    <s v="Diamond Ring"/>
    <s v="Diamond"/>
    <s v="Nisha"/>
    <n v="4"/>
    <n v="37620"/>
    <n v="150480"/>
    <n v="122329.39"/>
    <n v="28150.61"/>
    <n v="0.18707210260499735"/>
  </r>
  <r>
    <x v="261"/>
    <x v="142"/>
    <s v="Ahmedabad"/>
    <s v="Necklaces"/>
    <s v="Gold Necklace"/>
    <s v="Gold"/>
    <s v="Nisha"/>
    <n v="4"/>
    <n v="69354"/>
    <n v="277416"/>
    <n v="235589.36"/>
    <n v="41826.639999999999"/>
    <n v="0.15077226980419298"/>
  </r>
  <r>
    <x v="262"/>
    <x v="187"/>
    <s v="Pune"/>
    <s v="Pendants"/>
    <s v="Pendant"/>
    <s v="Gold"/>
    <s v="Rohan"/>
    <n v="3"/>
    <n v="38206"/>
    <n v="114618"/>
    <n v="80632.03"/>
    <n v="33985.97"/>
    <n v="0.29651511978921286"/>
  </r>
  <r>
    <x v="263"/>
    <x v="100"/>
    <s v="Pune"/>
    <s v="Bracelets"/>
    <s v="Bracelet"/>
    <s v="Gold"/>
    <s v="Karan"/>
    <n v="2"/>
    <n v="71120"/>
    <n v="142240"/>
    <n v="92532.67"/>
    <n v="49707.33"/>
    <n v="0.34946098143982002"/>
  </r>
  <r>
    <x v="264"/>
    <x v="165"/>
    <s v="Ahmedabad"/>
    <s v="Earrings"/>
    <s v="Gold Earrings"/>
    <s v="Gold"/>
    <s v="Rohan"/>
    <n v="3"/>
    <n v="49985"/>
    <n v="149955"/>
    <n v="111852.94"/>
    <n v="38102.06"/>
    <n v="0.25408996032142972"/>
  </r>
  <r>
    <x v="265"/>
    <x v="38"/>
    <s v="Jaipur"/>
    <s v="Bracelets"/>
    <s v="Bracelet"/>
    <s v="Gold"/>
    <s v="Nisha"/>
    <n v="3"/>
    <n v="28021"/>
    <n v="84063"/>
    <n v="70255.25"/>
    <n v="13807.75"/>
    <n v="0.16425478510164995"/>
  </r>
  <r>
    <x v="266"/>
    <x v="188"/>
    <s v="Surat"/>
    <s v="Bracelets"/>
    <s v="Bracelet"/>
    <s v="Gold"/>
    <s v="Aisha"/>
    <n v="3"/>
    <n v="26402"/>
    <n v="79206"/>
    <n v="59890"/>
    <n v="19316"/>
    <n v="0.24387041385753605"/>
  </r>
  <r>
    <x v="267"/>
    <x v="189"/>
    <s v="Pune"/>
    <s v="Earrings"/>
    <s v="Diamond Earrings"/>
    <s v="Diamond"/>
    <s v="Arjun"/>
    <n v="1"/>
    <n v="35492"/>
    <n v="35492"/>
    <n v="29825.83"/>
    <n v="5666.17"/>
    <n v="0.15964639918854953"/>
  </r>
  <r>
    <x v="268"/>
    <x v="181"/>
    <s v="Ahmedabad"/>
    <s v="Earrings"/>
    <s v="Gold Earrings"/>
    <s v="Gold"/>
    <s v="Arjun"/>
    <n v="5"/>
    <n v="26708"/>
    <n v="133540"/>
    <n v="109614.27"/>
    <n v="23925.73"/>
    <n v="0.17916526883330836"/>
  </r>
  <r>
    <x v="269"/>
    <x v="174"/>
    <s v="Bangalore"/>
    <s v="Necklaces"/>
    <s v="Gold Necklace"/>
    <s v="Gold"/>
    <s v="Meera"/>
    <n v="2"/>
    <n v="35333"/>
    <n v="70666"/>
    <n v="58710.55"/>
    <n v="11955.45"/>
    <n v="0.16918249228766311"/>
  </r>
  <r>
    <x v="270"/>
    <x v="61"/>
    <s v="Mumbai"/>
    <s v="Pendants"/>
    <s v="Pendant"/>
    <s v="Gold"/>
    <s v="Arjun"/>
    <n v="5"/>
    <n v="19849"/>
    <n v="99245"/>
    <n v="77777.47"/>
    <n v="21467.53"/>
    <n v="0.21630842863620334"/>
  </r>
  <r>
    <x v="271"/>
    <x v="97"/>
    <s v="Bangalore"/>
    <s v="Pendants"/>
    <s v="Pendant"/>
    <s v="Gold"/>
    <s v="Nisha"/>
    <n v="2"/>
    <n v="72810"/>
    <n v="145620"/>
    <n v="114829.89"/>
    <n v="30790.11"/>
    <n v="0.21144149155335806"/>
  </r>
  <r>
    <x v="272"/>
    <x v="190"/>
    <s v="Surat"/>
    <s v="Pendants"/>
    <s v="Pendant"/>
    <s v="Gold"/>
    <s v="Nisha"/>
    <n v="1"/>
    <n v="23521"/>
    <n v="23521"/>
    <n v="16532.88"/>
    <n v="6988.12"/>
    <n v="0.29710131371965476"/>
  </r>
  <r>
    <x v="273"/>
    <x v="82"/>
    <s v="Bangalore"/>
    <s v="Necklaces"/>
    <s v="Diamond Necklace"/>
    <s v="Diamond"/>
    <s v="Rohan"/>
    <n v="4"/>
    <n v="15661"/>
    <n v="62644"/>
    <n v="46787.18"/>
    <n v="15856.82"/>
    <n v="0.25312591788519251"/>
  </r>
  <r>
    <x v="274"/>
    <x v="17"/>
    <s v="Pune"/>
    <s v="Necklaces"/>
    <s v="Gold Necklace"/>
    <s v="Gold"/>
    <s v="Meera"/>
    <n v="4"/>
    <n v="29576"/>
    <n v="118304"/>
    <n v="89663.61"/>
    <n v="28640.39"/>
    <n v="0.24209147619691643"/>
  </r>
  <r>
    <x v="275"/>
    <x v="191"/>
    <s v="Mumbai"/>
    <s v="Rings"/>
    <s v="Gold Ring"/>
    <s v="Gold"/>
    <s v="Karan"/>
    <n v="5"/>
    <n v="73222"/>
    <n v="366110"/>
    <n v="286686.14"/>
    <n v="79423.86"/>
    <n v="0.2169398814563929"/>
  </r>
  <r>
    <x v="276"/>
    <x v="192"/>
    <s v="Ahmedabad"/>
    <s v="Bracelets"/>
    <s v="Bangle"/>
    <s v="Gold"/>
    <s v="Meera"/>
    <n v="1"/>
    <n v="31660"/>
    <n v="31660"/>
    <n v="24612.74"/>
    <n v="7047.26"/>
    <n v="0.22259191408717627"/>
  </r>
  <r>
    <x v="277"/>
    <x v="4"/>
    <s v="Surat"/>
    <s v="Rings"/>
    <s v="Gold Ring"/>
    <s v="Gold"/>
    <s v="Arjun"/>
    <n v="3"/>
    <n v="20317"/>
    <n v="60951"/>
    <n v="45842.78"/>
    <n v="15108.22"/>
    <n v="0.24787485028957687"/>
  </r>
  <r>
    <x v="278"/>
    <x v="73"/>
    <s v="Bangalore"/>
    <s v="Bracelets"/>
    <s v="Bangle"/>
    <s v="Gold"/>
    <s v="Rohan"/>
    <n v="2"/>
    <n v="62472"/>
    <n v="124944"/>
    <n v="96838.54"/>
    <n v="28105.46"/>
    <n v="0.22494445511589192"/>
  </r>
  <r>
    <x v="279"/>
    <x v="147"/>
    <s v="Surat"/>
    <s v="Earrings"/>
    <s v="Diamond Earrings"/>
    <s v="Diamond"/>
    <s v="Nisha"/>
    <n v="3"/>
    <n v="70198"/>
    <n v="210594"/>
    <n v="169676.6"/>
    <n v="40917.4"/>
    <n v="0.1942951840983124"/>
  </r>
  <r>
    <x v="280"/>
    <x v="140"/>
    <s v="Bangalore"/>
    <s v="Pendants"/>
    <s v="Pendant"/>
    <s v="Gold"/>
    <s v="Rohan"/>
    <n v="4"/>
    <n v="52820"/>
    <n v="211280"/>
    <n v="155180.45000000001"/>
    <n v="56099.55"/>
    <n v="0.2655222926921621"/>
  </r>
  <r>
    <x v="281"/>
    <x v="193"/>
    <s v="Surat"/>
    <s v="Pendants"/>
    <s v="Pendant"/>
    <s v="Gold"/>
    <s v="Karan"/>
    <n v="3"/>
    <n v="72714"/>
    <n v="218142"/>
    <n v="159406.38"/>
    <n v="58735.62"/>
    <n v="0.26925406386665568"/>
  </r>
  <r>
    <x v="282"/>
    <x v="36"/>
    <s v="Ahmedabad"/>
    <s v="Pendants"/>
    <s v="Pendant"/>
    <s v="Gold"/>
    <s v="Arjun"/>
    <n v="2"/>
    <n v="72512"/>
    <n v="145024"/>
    <n v="117235.98"/>
    <n v="27788.02"/>
    <n v="0.19160980251544571"/>
  </r>
  <r>
    <x v="283"/>
    <x v="93"/>
    <s v="Mumbai"/>
    <s v="Earrings"/>
    <s v="Diamond Earrings"/>
    <s v="Diamond"/>
    <s v="Karan"/>
    <n v="3"/>
    <n v="24720"/>
    <n v="74160"/>
    <n v="56902.239999999998"/>
    <n v="17257.759999999998"/>
    <n v="0.23270981661272921"/>
  </r>
  <r>
    <x v="284"/>
    <x v="24"/>
    <s v="Bangalore"/>
    <s v="Rings"/>
    <s v="Diamond Ring"/>
    <s v="Diamond"/>
    <s v="Aisha"/>
    <n v="5"/>
    <n v="61219"/>
    <n v="306095"/>
    <n v="232350.66"/>
    <n v="73744.34"/>
    <n v="0.24091977980692267"/>
  </r>
  <r>
    <x v="285"/>
    <x v="104"/>
    <s v="Delhi"/>
    <s v="Rings"/>
    <s v="Gold Ring"/>
    <s v="Gold"/>
    <s v="Karan"/>
    <n v="1"/>
    <n v="14081"/>
    <n v="14081"/>
    <n v="9687.56"/>
    <n v="4393.4399999999996"/>
    <n v="0.3120119309708117"/>
  </r>
  <r>
    <x v="286"/>
    <x v="194"/>
    <s v="Jaipur"/>
    <s v="Bracelets"/>
    <s v="Bangle"/>
    <s v="Gold"/>
    <s v="Nisha"/>
    <n v="5"/>
    <n v="79257"/>
    <n v="396285"/>
    <n v="306069.94"/>
    <n v="90215.06"/>
    <n v="0.22765196764954515"/>
  </r>
  <r>
    <x v="287"/>
    <x v="84"/>
    <s v="Mumbai"/>
    <s v="Anklets"/>
    <s v="Anklet"/>
    <s v="Silver"/>
    <s v="Nisha"/>
    <n v="5"/>
    <n v="18879"/>
    <n v="94395"/>
    <n v="65368.56"/>
    <n v="29026.44"/>
    <n v="0.30749976163991738"/>
  </r>
  <r>
    <x v="288"/>
    <x v="181"/>
    <s v="Pune"/>
    <s v="Bracelets"/>
    <s v="Bangle"/>
    <s v="Gold"/>
    <s v="Rohan"/>
    <n v="2"/>
    <n v="12846"/>
    <n v="25692"/>
    <n v="18866"/>
    <n v="6826"/>
    <n v="0.26568581659660595"/>
  </r>
  <r>
    <x v="289"/>
    <x v="154"/>
    <s v="Pune"/>
    <s v="Rings"/>
    <s v="Diamond Ring"/>
    <s v="Diamond"/>
    <s v="Aisha"/>
    <n v="2"/>
    <n v="48546"/>
    <n v="97092"/>
    <n v="74024.91"/>
    <n v="23067.09"/>
    <n v="0.23757971820541343"/>
  </r>
  <r>
    <x v="290"/>
    <x v="182"/>
    <s v="Bangalore"/>
    <s v="Earrings"/>
    <s v="Gold Earrings"/>
    <s v="Gold"/>
    <s v="Karan"/>
    <n v="4"/>
    <n v="12488"/>
    <n v="49952"/>
    <n v="35650.51"/>
    <n v="14301.49"/>
    <n v="0.28630465246636772"/>
  </r>
  <r>
    <x v="291"/>
    <x v="176"/>
    <s v="Jaipur"/>
    <s v="Bracelets"/>
    <s v="Bracelet"/>
    <s v="Gold"/>
    <s v="Nisha"/>
    <n v="1"/>
    <n v="73243"/>
    <n v="73243"/>
    <n v="55921.14"/>
    <n v="17321.86"/>
    <n v="0.23649850497658481"/>
  </r>
  <r>
    <x v="292"/>
    <x v="110"/>
    <s v="Bangalore"/>
    <s v="Rings"/>
    <s v="Gold Ring"/>
    <s v="Gold"/>
    <s v="Aisha"/>
    <n v="5"/>
    <n v="61038"/>
    <n v="305190"/>
    <n v="225625.24"/>
    <n v="79564.759999999995"/>
    <n v="0.26070565876994656"/>
  </r>
  <r>
    <x v="293"/>
    <x v="195"/>
    <s v="Pune"/>
    <s v="Rings"/>
    <s v="Gold Ring"/>
    <s v="Gold"/>
    <s v="Meera"/>
    <n v="5"/>
    <n v="28354"/>
    <n v="141770"/>
    <n v="105631.36"/>
    <n v="36138.639999999999"/>
    <n v="0.25491034774634974"/>
  </r>
  <r>
    <x v="294"/>
    <x v="20"/>
    <s v="Jaipur"/>
    <s v="Bracelets"/>
    <s v="Bracelet"/>
    <s v="Gold"/>
    <s v="Aisha"/>
    <n v="4"/>
    <n v="35823"/>
    <n v="143292"/>
    <n v="118811.2"/>
    <n v="24480.799999999999"/>
    <n v="0.17084554615749659"/>
  </r>
  <r>
    <x v="295"/>
    <x v="196"/>
    <s v="Delhi"/>
    <s v="Rings"/>
    <s v="Gold Ring"/>
    <s v="Gold"/>
    <s v="Aisha"/>
    <n v="1"/>
    <n v="19552"/>
    <n v="19552"/>
    <n v="13562.23"/>
    <n v="5989.77"/>
    <n v="0.30635075695581016"/>
  </r>
  <r>
    <x v="296"/>
    <x v="57"/>
    <s v="Mumbai"/>
    <s v="Rings"/>
    <s v="Diamond Ring"/>
    <s v="Diamond"/>
    <s v="Meera"/>
    <n v="3"/>
    <n v="39754"/>
    <n v="119262"/>
    <n v="88272.41"/>
    <n v="30989.59"/>
    <n v="0.25984462779426809"/>
  </r>
  <r>
    <x v="297"/>
    <x v="93"/>
    <s v="Surat"/>
    <s v="Necklaces"/>
    <s v="Gold Necklace"/>
    <s v="Gold"/>
    <s v="Karan"/>
    <n v="2"/>
    <n v="19048"/>
    <n v="38096"/>
    <n v="26995.919999999998"/>
    <n v="11100.08"/>
    <n v="0.29137127257454853"/>
  </r>
  <r>
    <x v="298"/>
    <x v="139"/>
    <s v="Pune"/>
    <s v="Pendants"/>
    <s v="Pendant"/>
    <s v="Gold"/>
    <s v="Meera"/>
    <n v="3"/>
    <n v="14902"/>
    <n v="44706"/>
    <n v="35471.620000000003"/>
    <n v="9234.3799999999992"/>
    <n v="0.20655795642643043"/>
  </r>
  <r>
    <x v="299"/>
    <x v="0"/>
    <s v="Surat"/>
    <s v="Rings"/>
    <s v="Gold Ring"/>
    <s v="Gold"/>
    <s v="Aisha"/>
    <n v="5"/>
    <n v="18443"/>
    <n v="92215"/>
    <n v="67113.13"/>
    <n v="25101.87"/>
    <n v="0.27221026947893506"/>
  </r>
  <r>
    <x v="300"/>
    <x v="197"/>
    <s v="Pune"/>
    <s v="Earrings"/>
    <s v="Gold Earrings"/>
    <s v="Gold"/>
    <s v="Arjun"/>
    <n v="4"/>
    <n v="15835"/>
    <n v="63340"/>
    <n v="45177.63"/>
    <n v="18162.37"/>
    <n v="0.28674407957057152"/>
  </r>
  <r>
    <x v="301"/>
    <x v="187"/>
    <s v="Pune"/>
    <s v="Anklets"/>
    <s v="Anklet"/>
    <s v="Silver"/>
    <s v="Meera"/>
    <n v="2"/>
    <n v="26993"/>
    <n v="53986"/>
    <n v="45524.83"/>
    <n v="8461.17"/>
    <n v="0.15672896676916237"/>
  </r>
  <r>
    <x v="302"/>
    <x v="198"/>
    <s v="Ahmedabad"/>
    <s v="Rings"/>
    <s v="Diamond Ring"/>
    <s v="Diamond"/>
    <s v="Nisha"/>
    <n v="4"/>
    <n v="70516"/>
    <n v="282064"/>
    <n v="205102.13"/>
    <n v="76961.87"/>
    <n v="0.27285250865051902"/>
  </r>
  <r>
    <x v="303"/>
    <x v="199"/>
    <s v="Ahmedabad"/>
    <s v="Bracelets"/>
    <s v="Bangle"/>
    <s v="Gold"/>
    <s v="Arjun"/>
    <n v="3"/>
    <n v="44687"/>
    <n v="134061"/>
    <n v="88765.48"/>
    <n v="45295.519999999997"/>
    <n v="0.33787246104385316"/>
  </r>
  <r>
    <x v="304"/>
    <x v="189"/>
    <s v="Ahmedabad"/>
    <s v="Anklets"/>
    <s v="Anklet"/>
    <s v="Silver"/>
    <s v="Arjun"/>
    <n v="2"/>
    <n v="48448"/>
    <n v="96896"/>
    <n v="74312.800000000003"/>
    <n v="22583.200000000001"/>
    <n v="0.23306638044914135"/>
  </r>
  <r>
    <x v="305"/>
    <x v="200"/>
    <s v="Delhi"/>
    <s v="Necklaces"/>
    <s v="Diamond Necklace"/>
    <s v="Diamond"/>
    <s v="Meera"/>
    <n v="4"/>
    <n v="38717"/>
    <n v="154868"/>
    <n v="125674.81"/>
    <n v="29193.19"/>
    <n v="0.18850369346798562"/>
  </r>
  <r>
    <x v="306"/>
    <x v="201"/>
    <s v="Pune"/>
    <s v="Earrings"/>
    <s v="Gold Earrings"/>
    <s v="Gold"/>
    <s v="Aisha"/>
    <n v="3"/>
    <n v="43130"/>
    <n v="129390"/>
    <n v="95036.96"/>
    <n v="34353.040000000001"/>
    <n v="0.26549996135713733"/>
  </r>
  <r>
    <x v="307"/>
    <x v="10"/>
    <s v="Bangalore"/>
    <s v="Anklets"/>
    <s v="Anklet"/>
    <s v="Silver"/>
    <s v="Aisha"/>
    <n v="2"/>
    <n v="27267"/>
    <n v="54534"/>
    <n v="38433.910000000003"/>
    <n v="16100.09"/>
    <n v="0.29523031503282354"/>
  </r>
  <r>
    <x v="308"/>
    <x v="174"/>
    <s v="Pune"/>
    <s v="Pendants"/>
    <s v="Pendant"/>
    <s v="Gold"/>
    <s v="Meera"/>
    <n v="5"/>
    <n v="19149"/>
    <n v="95745"/>
    <n v="72574.350000000006"/>
    <n v="23170.65"/>
    <n v="0.24200375998746673"/>
  </r>
  <r>
    <x v="309"/>
    <x v="202"/>
    <s v="Bangalore"/>
    <s v="Bracelets"/>
    <s v="Bangle"/>
    <s v="Gold"/>
    <s v="Meera"/>
    <n v="2"/>
    <n v="48562"/>
    <n v="97124"/>
    <n v="74919.48"/>
    <n v="22204.52"/>
    <n v="0.22862032041513941"/>
  </r>
  <r>
    <x v="310"/>
    <x v="7"/>
    <s v="Delhi"/>
    <s v="Bracelets"/>
    <s v="Bracelet"/>
    <s v="Gold"/>
    <s v="Nisha"/>
    <n v="3"/>
    <n v="9228"/>
    <n v="27684"/>
    <n v="22377.89"/>
    <n v="5306.11"/>
    <n v="0.19166702788614362"/>
  </r>
  <r>
    <x v="311"/>
    <x v="60"/>
    <s v="Jaipur"/>
    <s v="Bracelets"/>
    <s v="Bangle"/>
    <s v="Gold"/>
    <s v="Aisha"/>
    <n v="3"/>
    <n v="16209"/>
    <n v="48627"/>
    <n v="33872.269999999997"/>
    <n v="14754.73"/>
    <n v="0.30342669710243281"/>
  </r>
  <r>
    <x v="312"/>
    <x v="203"/>
    <s v="Jaipur"/>
    <s v="Anklets"/>
    <s v="Anklet"/>
    <s v="Silver"/>
    <s v="Karan"/>
    <n v="3"/>
    <n v="70467"/>
    <n v="211401"/>
    <n v="158811.56"/>
    <n v="52589.440000000002"/>
    <n v="0.24876627830521145"/>
  </r>
  <r>
    <x v="313"/>
    <x v="186"/>
    <s v="Mumbai"/>
    <s v="Necklaces"/>
    <s v="Diamond Necklace"/>
    <s v="Diamond"/>
    <s v="Rohan"/>
    <n v="1"/>
    <n v="31683"/>
    <n v="31683"/>
    <n v="25700.39"/>
    <n v="5982.61"/>
    <n v="0.18882713126913486"/>
  </r>
  <r>
    <x v="314"/>
    <x v="204"/>
    <s v="Ahmedabad"/>
    <s v="Earrings"/>
    <s v="Gold Earrings"/>
    <s v="Gold"/>
    <s v="Arjun"/>
    <n v="3"/>
    <n v="60755"/>
    <n v="182265"/>
    <n v="146892.41"/>
    <n v="35372.589999999997"/>
    <n v="0.19407231229254107"/>
  </r>
  <r>
    <x v="315"/>
    <x v="111"/>
    <s v="Mumbai"/>
    <s v="Necklaces"/>
    <s v="Gold Necklace"/>
    <s v="Gold"/>
    <s v="Aisha"/>
    <n v="3"/>
    <n v="21909"/>
    <n v="65727"/>
    <n v="47608.28"/>
    <n v="18118.72"/>
    <n v="0.27566631673437098"/>
  </r>
  <r>
    <x v="316"/>
    <x v="53"/>
    <s v="Bangalore"/>
    <s v="Bracelets"/>
    <s v="Bangle"/>
    <s v="Gold"/>
    <s v="Aisha"/>
    <n v="3"/>
    <n v="11979"/>
    <n v="35937"/>
    <n v="25838.14"/>
    <n v="10098.86"/>
    <n v="0.28101566630492253"/>
  </r>
  <r>
    <x v="317"/>
    <x v="54"/>
    <s v="Jaipur"/>
    <s v="Pendants"/>
    <s v="Pendant"/>
    <s v="Gold"/>
    <s v="Aisha"/>
    <n v="1"/>
    <n v="34823"/>
    <n v="34823"/>
    <n v="29532.720000000001"/>
    <n v="5290.28"/>
    <n v="0.15191913390575193"/>
  </r>
  <r>
    <x v="318"/>
    <x v="131"/>
    <s v="Delhi"/>
    <s v="Anklets"/>
    <s v="Anklet"/>
    <s v="Silver"/>
    <s v="Arjun"/>
    <n v="2"/>
    <n v="42288"/>
    <n v="84576"/>
    <n v="70629.34"/>
    <n v="13946.66"/>
    <n v="0.16490091751797201"/>
  </r>
  <r>
    <x v="319"/>
    <x v="129"/>
    <s v="Delhi"/>
    <s v="Earrings"/>
    <s v="Gold Earrings"/>
    <s v="Gold"/>
    <s v="Aisha"/>
    <n v="5"/>
    <n v="25157"/>
    <n v="125785"/>
    <n v="88150.02"/>
    <n v="37634.980000000003"/>
    <n v="0.29920085860794216"/>
  </r>
  <r>
    <x v="320"/>
    <x v="205"/>
    <s v="Ahmedabad"/>
    <s v="Rings"/>
    <s v="Gold Ring"/>
    <s v="Gold"/>
    <s v="Rohan"/>
    <n v="4"/>
    <n v="18965"/>
    <n v="75860"/>
    <n v="49726.52"/>
    <n v="26133.48"/>
    <n v="0.3444961771684682"/>
  </r>
  <r>
    <x v="321"/>
    <x v="206"/>
    <s v="Jaipur"/>
    <s v="Rings"/>
    <s v="Gold Ring"/>
    <s v="Gold"/>
    <s v="Karan"/>
    <n v="4"/>
    <n v="71810"/>
    <n v="287240"/>
    <n v="241121.04"/>
    <n v="46118.96"/>
    <n v="0.16055897507310959"/>
  </r>
  <r>
    <x v="322"/>
    <x v="142"/>
    <s v="Bangalore"/>
    <s v="Rings"/>
    <s v="Diamond Ring"/>
    <s v="Diamond"/>
    <s v="Arjun"/>
    <n v="4"/>
    <n v="23717"/>
    <n v="94868"/>
    <n v="75066.7"/>
    <n v="19801.3"/>
    <n v="0.20872475439558122"/>
  </r>
  <r>
    <x v="323"/>
    <x v="188"/>
    <s v="Ahmedabad"/>
    <s v="Rings"/>
    <s v="Diamond Ring"/>
    <s v="Diamond"/>
    <s v="Karan"/>
    <n v="2"/>
    <n v="19768"/>
    <n v="39536"/>
    <n v="33261"/>
    <n v="6275"/>
    <n v="0.15871610683933629"/>
  </r>
  <r>
    <x v="324"/>
    <x v="18"/>
    <s v="Delhi"/>
    <s v="Pendants"/>
    <s v="Pendant"/>
    <s v="Gold"/>
    <s v="Rohan"/>
    <n v="2"/>
    <n v="56616"/>
    <n v="113232"/>
    <n v="95471.98"/>
    <n v="17760.02"/>
    <n v="0.15684629786632753"/>
  </r>
  <r>
    <x v="325"/>
    <x v="123"/>
    <s v="Mumbai"/>
    <s v="Necklaces"/>
    <s v="Diamond Necklace"/>
    <s v="Diamond"/>
    <s v="Aisha"/>
    <n v="3"/>
    <n v="15769"/>
    <n v="47307"/>
    <n v="39290.870000000003"/>
    <n v="8016.13"/>
    <n v="0.16944913014987212"/>
  </r>
  <r>
    <x v="326"/>
    <x v="207"/>
    <s v="Bangalore"/>
    <s v="Rings"/>
    <s v="Gold Ring"/>
    <s v="Gold"/>
    <s v="Aisha"/>
    <n v="5"/>
    <n v="71363"/>
    <n v="356815"/>
    <n v="235909.51"/>
    <n v="120905.49"/>
    <n v="0.33884643302551742"/>
  </r>
  <r>
    <x v="327"/>
    <x v="112"/>
    <s v="Ahmedabad"/>
    <s v="Necklaces"/>
    <s v="Gold Necklace"/>
    <s v="Gold"/>
    <s v="Aisha"/>
    <n v="3"/>
    <n v="65839"/>
    <n v="197517"/>
    <n v="158325.59"/>
    <n v="39191.410000000003"/>
    <n v="0.19842043975961565"/>
  </r>
  <r>
    <x v="328"/>
    <x v="6"/>
    <s v="Delhi"/>
    <s v="Rings"/>
    <s v="Diamond Ring"/>
    <s v="Diamond"/>
    <s v="Karan"/>
    <n v="3"/>
    <n v="59124"/>
    <n v="177372"/>
    <n v="119695.72"/>
    <n v="57676.28"/>
    <n v="0.32517127844304622"/>
  </r>
  <r>
    <x v="329"/>
    <x v="208"/>
    <s v="Delhi"/>
    <s v="Bracelets"/>
    <s v="Bangle"/>
    <s v="Gold"/>
    <s v="Rohan"/>
    <n v="2"/>
    <n v="26762"/>
    <n v="53524"/>
    <n v="44577.98"/>
    <n v="8946.02"/>
    <n v="0.16714034825498841"/>
  </r>
  <r>
    <x v="330"/>
    <x v="209"/>
    <s v="Delhi"/>
    <s v="Rings"/>
    <s v="Gold Ring"/>
    <s v="Gold"/>
    <s v="Nisha"/>
    <n v="1"/>
    <n v="28572"/>
    <n v="28572"/>
    <n v="23872.93"/>
    <n v="4699.07"/>
    <n v="0.16446416071678566"/>
  </r>
  <r>
    <x v="331"/>
    <x v="210"/>
    <s v="Surat"/>
    <s v="Necklaces"/>
    <s v="Diamond Necklace"/>
    <s v="Diamond"/>
    <s v="Arjun"/>
    <n v="2"/>
    <n v="66621"/>
    <n v="133242"/>
    <n v="112135.24"/>
    <n v="21106.76"/>
    <n v="0.15840921030906169"/>
  </r>
  <r>
    <x v="332"/>
    <x v="144"/>
    <s v="Bangalore"/>
    <s v="Bracelets"/>
    <s v="Bracelet"/>
    <s v="Gold"/>
    <s v="Aisha"/>
    <n v="1"/>
    <n v="67288"/>
    <n v="67288"/>
    <n v="56822.18"/>
    <n v="10465.82"/>
    <n v="0.15553768874093449"/>
  </r>
  <r>
    <x v="333"/>
    <x v="211"/>
    <s v="Bangalore"/>
    <s v="Earrings"/>
    <s v="Diamond Earrings"/>
    <s v="Diamond"/>
    <s v="Rohan"/>
    <n v="1"/>
    <n v="55976"/>
    <n v="55976"/>
    <n v="37982.720000000001"/>
    <n v="17993.28"/>
    <n v="0.32144633414320423"/>
  </r>
  <r>
    <x v="334"/>
    <x v="205"/>
    <s v="Pune"/>
    <s v="Necklaces"/>
    <s v="Diamond Necklace"/>
    <s v="Diamond"/>
    <s v="Aisha"/>
    <n v="4"/>
    <n v="26967"/>
    <n v="107868"/>
    <n v="79584.39"/>
    <n v="28283.61"/>
    <n v="0.26220575147402381"/>
  </r>
  <r>
    <x v="335"/>
    <x v="109"/>
    <s v="Ahmedabad"/>
    <s v="Necklaces"/>
    <s v="Gold Necklace"/>
    <s v="Gold"/>
    <s v="Meera"/>
    <n v="2"/>
    <n v="28406"/>
    <n v="56812"/>
    <n v="37216.629999999997"/>
    <n v="19595.37"/>
    <n v="0.34491603886502847"/>
  </r>
  <r>
    <x v="336"/>
    <x v="124"/>
    <s v="Bangalore"/>
    <s v="Anklets"/>
    <s v="Anklet"/>
    <s v="Silver"/>
    <s v="Karan"/>
    <n v="2"/>
    <n v="42166"/>
    <n v="84332"/>
    <n v="63097.32"/>
    <n v="21234.68"/>
    <n v="0.25179860551154959"/>
  </r>
  <r>
    <x v="337"/>
    <x v="212"/>
    <s v="Delhi"/>
    <s v="Earrings"/>
    <s v="Diamond Earrings"/>
    <s v="Diamond"/>
    <s v="Meera"/>
    <n v="2"/>
    <n v="75299"/>
    <n v="150598"/>
    <n v="99601.09"/>
    <n v="50996.91"/>
    <n v="0.33862939746875792"/>
  </r>
  <r>
    <x v="338"/>
    <x v="85"/>
    <s v="Jaipur"/>
    <s v="Necklaces"/>
    <s v="Diamond Necklace"/>
    <s v="Diamond"/>
    <s v="Meera"/>
    <n v="1"/>
    <n v="41789"/>
    <n v="41789"/>
    <n v="33471.74"/>
    <n v="8317.26"/>
    <n v="0.19902988824810358"/>
  </r>
  <r>
    <x v="339"/>
    <x v="34"/>
    <s v="Delhi"/>
    <s v="Earrings"/>
    <s v="Diamond Earrings"/>
    <s v="Diamond"/>
    <s v="Karan"/>
    <n v="2"/>
    <n v="20788"/>
    <n v="41576"/>
    <n v="30268.54"/>
    <n v="11307.46"/>
    <n v="0.27197084856648063"/>
  </r>
  <r>
    <x v="340"/>
    <x v="213"/>
    <s v="Mumbai"/>
    <s v="Bracelets"/>
    <s v="Bracelet"/>
    <s v="Gold"/>
    <s v="Aisha"/>
    <n v="2"/>
    <n v="10100"/>
    <n v="20200"/>
    <n v="14916.12"/>
    <n v="5283.88"/>
    <n v="0.2615782178217822"/>
  </r>
  <r>
    <x v="341"/>
    <x v="42"/>
    <s v="Ahmedabad"/>
    <s v="Pendants"/>
    <s v="Pendant"/>
    <s v="Gold"/>
    <s v="Arjun"/>
    <n v="4"/>
    <n v="8252"/>
    <n v="33008"/>
    <n v="26667.59"/>
    <n v="6340.41"/>
    <n v="0.19208706980126031"/>
  </r>
  <r>
    <x v="342"/>
    <x v="80"/>
    <s v="Ahmedabad"/>
    <s v="Pendants"/>
    <s v="Pendant"/>
    <s v="Gold"/>
    <s v="Rohan"/>
    <n v="4"/>
    <n v="13314"/>
    <n v="53256"/>
    <n v="44330.1"/>
    <n v="8925.9"/>
    <n v="0.16760365029292473"/>
  </r>
  <r>
    <x v="343"/>
    <x v="205"/>
    <s v="Ahmedabad"/>
    <s v="Necklaces"/>
    <s v="Diamond Necklace"/>
    <s v="Diamond"/>
    <s v="Arjun"/>
    <n v="2"/>
    <n v="31609"/>
    <n v="63218"/>
    <n v="47687.27"/>
    <n v="15530.73"/>
    <n v="0.24566942959283747"/>
  </r>
  <r>
    <x v="344"/>
    <x v="214"/>
    <s v="Pune"/>
    <s v="Necklaces"/>
    <s v="Diamond Necklace"/>
    <s v="Diamond"/>
    <s v="Rohan"/>
    <n v="5"/>
    <n v="18389"/>
    <n v="91945"/>
    <n v="75008.2"/>
    <n v="16936.8"/>
    <n v="0.18420577519169068"/>
  </r>
  <r>
    <x v="345"/>
    <x v="215"/>
    <s v="Pune"/>
    <s v="Anklets"/>
    <s v="Anklet"/>
    <s v="Silver"/>
    <s v="Meera"/>
    <n v="2"/>
    <n v="35005"/>
    <n v="70010"/>
    <n v="47425.35"/>
    <n v="22584.65"/>
    <n v="0.32259177260391375"/>
  </r>
  <r>
    <x v="346"/>
    <x v="51"/>
    <s v="Jaipur"/>
    <s v="Necklaces"/>
    <s v="Diamond Necklace"/>
    <s v="Diamond"/>
    <s v="Karan"/>
    <n v="1"/>
    <n v="16610"/>
    <n v="16610"/>
    <n v="13096.13"/>
    <n v="3513.87"/>
    <n v="0.21155147501505117"/>
  </r>
  <r>
    <x v="347"/>
    <x v="70"/>
    <s v="Delhi"/>
    <s v="Pendants"/>
    <s v="Pendant"/>
    <s v="Gold"/>
    <s v="Nisha"/>
    <n v="5"/>
    <n v="53566"/>
    <n v="267830"/>
    <n v="192045.86"/>
    <n v="75784.14"/>
    <n v="0.28295612888772731"/>
  </r>
  <r>
    <x v="348"/>
    <x v="216"/>
    <s v="Surat"/>
    <s v="Bracelets"/>
    <s v="Bangle"/>
    <s v="Gold"/>
    <s v="Aisha"/>
    <n v="4"/>
    <n v="25469"/>
    <n v="101876"/>
    <n v="83986.85"/>
    <n v="17889.150000000001"/>
    <n v="0.175597294750481"/>
  </r>
  <r>
    <x v="349"/>
    <x v="204"/>
    <s v="Mumbai"/>
    <s v="Earrings"/>
    <s v="Gold Earrings"/>
    <s v="Gold"/>
    <s v="Rohan"/>
    <n v="3"/>
    <n v="12806"/>
    <n v="38418"/>
    <n v="26227.88"/>
    <n v="12190.12"/>
    <n v="0.31730230621063044"/>
  </r>
  <r>
    <x v="350"/>
    <x v="74"/>
    <s v="Jaipur"/>
    <s v="Earrings"/>
    <s v="Diamond Earrings"/>
    <s v="Diamond"/>
    <s v="Arjun"/>
    <n v="3"/>
    <n v="76134"/>
    <n v="228402"/>
    <n v="191040.86"/>
    <n v="37361.14"/>
    <n v="0.16357623838670415"/>
  </r>
  <r>
    <x v="351"/>
    <x v="183"/>
    <s v="Surat"/>
    <s v="Pendants"/>
    <s v="Pendant"/>
    <s v="Gold"/>
    <s v="Aisha"/>
    <n v="2"/>
    <n v="50071"/>
    <n v="100142"/>
    <n v="80696.91"/>
    <n v="19445.09"/>
    <n v="0.19417517125681533"/>
  </r>
  <r>
    <x v="352"/>
    <x v="193"/>
    <s v="Jaipur"/>
    <s v="Bracelets"/>
    <s v="Bracelet"/>
    <s v="Gold"/>
    <s v="Aisha"/>
    <n v="1"/>
    <n v="72854"/>
    <n v="72854"/>
    <n v="53860.07"/>
    <n v="18993.93"/>
    <n v="0.26071224641062946"/>
  </r>
  <r>
    <x v="353"/>
    <x v="217"/>
    <s v="Jaipur"/>
    <s v="Rings"/>
    <s v="Gold Ring"/>
    <s v="Gold"/>
    <s v="Arjun"/>
    <n v="1"/>
    <n v="39920"/>
    <n v="39920"/>
    <n v="33671.93"/>
    <n v="6248.07"/>
    <n v="0.15651477955911822"/>
  </r>
  <r>
    <x v="354"/>
    <x v="218"/>
    <s v="Jaipur"/>
    <s v="Necklaces"/>
    <s v="Diamond Necklace"/>
    <s v="Diamond"/>
    <s v="Rohan"/>
    <n v="1"/>
    <n v="48883"/>
    <n v="48883"/>
    <n v="34222.58"/>
    <n v="14660.42"/>
    <n v="0.29990835259701737"/>
  </r>
  <r>
    <x v="355"/>
    <x v="219"/>
    <s v="Surat"/>
    <s v="Rings"/>
    <s v="Gold Ring"/>
    <s v="Gold"/>
    <s v="Aisha"/>
    <n v="2"/>
    <n v="42264"/>
    <n v="84528"/>
    <n v="55242.22"/>
    <n v="29285.78"/>
    <n v="0.3464624739731213"/>
  </r>
  <r>
    <x v="356"/>
    <x v="220"/>
    <s v="Pune"/>
    <s v="Anklets"/>
    <s v="Anklet"/>
    <s v="Silver"/>
    <s v="Arjun"/>
    <n v="5"/>
    <n v="39243"/>
    <n v="196215"/>
    <n v="155113.66"/>
    <n v="41101.339999999997"/>
    <n v="0.20947093749203677"/>
  </r>
  <r>
    <x v="357"/>
    <x v="146"/>
    <s v="Ahmedabad"/>
    <s v="Rings"/>
    <s v="Diamond Ring"/>
    <s v="Diamond"/>
    <s v="Aisha"/>
    <n v="1"/>
    <n v="43784"/>
    <n v="43784"/>
    <n v="29537.119999999999"/>
    <n v="14246.88"/>
    <n v="0.32539009683902792"/>
  </r>
  <r>
    <x v="358"/>
    <x v="94"/>
    <s v="Jaipur"/>
    <s v="Bracelets"/>
    <s v="Bangle"/>
    <s v="Gold"/>
    <s v="Arjun"/>
    <n v="1"/>
    <n v="23995"/>
    <n v="23995"/>
    <n v="16180.04"/>
    <n v="7814.96"/>
    <n v="0.32569118566367994"/>
  </r>
  <r>
    <x v="359"/>
    <x v="221"/>
    <s v="Jaipur"/>
    <s v="Necklaces"/>
    <s v="Gold Necklace"/>
    <s v="Gold"/>
    <s v="Arjun"/>
    <n v="2"/>
    <n v="27296"/>
    <n v="54592"/>
    <n v="42786.76"/>
    <n v="11805.24"/>
    <n v="0.21624487104337631"/>
  </r>
  <r>
    <x v="360"/>
    <x v="197"/>
    <s v="Pune"/>
    <s v="Bracelets"/>
    <s v="Bangle"/>
    <s v="Gold"/>
    <s v="Meera"/>
    <n v="1"/>
    <n v="58953"/>
    <n v="58953"/>
    <n v="46500.58"/>
    <n v="12452.42"/>
    <n v="0.21122623106542501"/>
  </r>
  <r>
    <x v="361"/>
    <x v="222"/>
    <s v="Bangalore"/>
    <s v="Anklets"/>
    <s v="Anklet"/>
    <s v="Silver"/>
    <s v="Arjun"/>
    <n v="1"/>
    <n v="59856"/>
    <n v="59856"/>
    <n v="50524.35"/>
    <n v="9331.65"/>
    <n v="0.1559016639935846"/>
  </r>
  <r>
    <x v="362"/>
    <x v="223"/>
    <s v="Bangalore"/>
    <s v="Rings"/>
    <s v="Gold Ring"/>
    <s v="Gold"/>
    <s v="Karan"/>
    <n v="4"/>
    <n v="39506"/>
    <n v="158024"/>
    <n v="129218.39"/>
    <n v="28805.61"/>
    <n v="0.18228629828380499"/>
  </r>
  <r>
    <x v="363"/>
    <x v="201"/>
    <s v="Bangalore"/>
    <s v="Bracelets"/>
    <s v="Bracelet"/>
    <s v="Gold"/>
    <s v="Arjun"/>
    <n v="4"/>
    <n v="15019"/>
    <n v="60076"/>
    <n v="42952.9"/>
    <n v="17123.099999999999"/>
    <n v="0.28502396963845794"/>
  </r>
  <r>
    <x v="364"/>
    <x v="95"/>
    <s v="Pune"/>
    <s v="Necklaces"/>
    <s v="Gold Necklace"/>
    <s v="Gold"/>
    <s v="Karan"/>
    <n v="4"/>
    <n v="9514"/>
    <n v="38056"/>
    <n v="27510.16"/>
    <n v="10545.84"/>
    <n v="0.2771137271389531"/>
  </r>
  <r>
    <x v="365"/>
    <x v="224"/>
    <s v="Mumbai"/>
    <s v="Pendants"/>
    <s v="Pendant"/>
    <s v="Gold"/>
    <s v="Aisha"/>
    <n v="4"/>
    <n v="34317"/>
    <n v="137268"/>
    <n v="103082.08"/>
    <n v="34185.919999999998"/>
    <n v="0.2490450796981088"/>
  </r>
  <r>
    <x v="366"/>
    <x v="110"/>
    <s v="Mumbai"/>
    <s v="Rings"/>
    <s v="Gold Ring"/>
    <s v="Gold"/>
    <s v="Rohan"/>
    <n v="4"/>
    <n v="67471"/>
    <n v="269884"/>
    <n v="209603.33"/>
    <n v="60280.67"/>
    <n v="0.22335770182745179"/>
  </r>
  <r>
    <x v="367"/>
    <x v="225"/>
    <s v="Surat"/>
    <s v="Rings"/>
    <s v="Gold Ring"/>
    <s v="Gold"/>
    <s v="Nisha"/>
    <n v="3"/>
    <n v="43839"/>
    <n v="131517"/>
    <n v="102011.14"/>
    <n v="29505.86"/>
    <n v="0.22435016005535408"/>
  </r>
  <r>
    <x v="368"/>
    <x v="106"/>
    <s v="Jaipur"/>
    <s v="Rings"/>
    <s v="Gold Ring"/>
    <s v="Gold"/>
    <s v="Aisha"/>
    <n v="1"/>
    <n v="76197"/>
    <n v="76197"/>
    <n v="49736.33"/>
    <n v="26460.67"/>
    <n v="0.34726655905088122"/>
  </r>
  <r>
    <x v="369"/>
    <x v="58"/>
    <s v="Surat"/>
    <s v="Necklaces"/>
    <s v="Diamond Necklace"/>
    <s v="Diamond"/>
    <s v="Karan"/>
    <n v="3"/>
    <n v="53554"/>
    <n v="160662"/>
    <n v="125236.67"/>
    <n v="35425.33"/>
    <n v="0.22049601025755936"/>
  </r>
  <r>
    <x v="370"/>
    <x v="67"/>
    <s v="Surat"/>
    <s v="Rings"/>
    <s v="Diamond Ring"/>
    <s v="Diamond"/>
    <s v="Arjun"/>
    <n v="3"/>
    <n v="19072"/>
    <n v="57216"/>
    <n v="42527.71"/>
    <n v="14688.29"/>
    <n v="0.2567164779082774"/>
  </r>
  <r>
    <x v="371"/>
    <x v="226"/>
    <s v="Mumbai"/>
    <s v="Pendants"/>
    <s v="Pendant"/>
    <s v="Gold"/>
    <s v="Meera"/>
    <n v="5"/>
    <n v="25218"/>
    <n v="126090"/>
    <n v="104281.23"/>
    <n v="21808.77"/>
    <n v="0.17296193195336665"/>
  </r>
  <r>
    <x v="372"/>
    <x v="215"/>
    <s v="Jaipur"/>
    <s v="Bracelets"/>
    <s v="Bracelet"/>
    <s v="Gold"/>
    <s v="Karan"/>
    <n v="2"/>
    <n v="19514"/>
    <n v="39028"/>
    <n v="31147.49"/>
    <n v="7880.51"/>
    <n v="0.20191939120631341"/>
  </r>
  <r>
    <x v="373"/>
    <x v="37"/>
    <s v="Bangalore"/>
    <s v="Earrings"/>
    <s v="Gold Earrings"/>
    <s v="Gold"/>
    <s v="Meera"/>
    <n v="5"/>
    <n v="37047"/>
    <n v="185235"/>
    <n v="144496.54"/>
    <n v="40738.46"/>
    <n v="0.21992852322725187"/>
  </r>
  <r>
    <x v="374"/>
    <x v="147"/>
    <s v="Jaipur"/>
    <s v="Necklaces"/>
    <s v="Diamond Necklace"/>
    <s v="Diamond"/>
    <s v="Nisha"/>
    <n v="4"/>
    <n v="79831"/>
    <n v="319324"/>
    <n v="226956.42"/>
    <n v="92367.58"/>
    <n v="0.28925974871916926"/>
  </r>
  <r>
    <x v="375"/>
    <x v="172"/>
    <s v="Delhi"/>
    <s v="Bracelets"/>
    <s v="Bangle"/>
    <s v="Gold"/>
    <s v="Karan"/>
    <n v="2"/>
    <n v="51734"/>
    <n v="103468"/>
    <n v="71839.5"/>
    <n v="31628.5"/>
    <n v="0.30568388293965282"/>
  </r>
  <r>
    <x v="376"/>
    <x v="227"/>
    <s v="Jaipur"/>
    <s v="Pendants"/>
    <s v="Pendant"/>
    <s v="Gold"/>
    <s v="Meera"/>
    <n v="4"/>
    <n v="9556"/>
    <n v="38224"/>
    <n v="31910.86"/>
    <n v="6313.14"/>
    <n v="0.16516167852658017"/>
  </r>
  <r>
    <x v="377"/>
    <x v="122"/>
    <s v="Bangalore"/>
    <s v="Necklaces"/>
    <s v="Gold Necklace"/>
    <s v="Gold"/>
    <s v="Rohan"/>
    <n v="5"/>
    <n v="50661"/>
    <n v="253305"/>
    <n v="189543.44"/>
    <n v="63761.56"/>
    <n v="0.25171852115039184"/>
  </r>
  <r>
    <x v="378"/>
    <x v="1"/>
    <s v="Mumbai"/>
    <s v="Earrings"/>
    <s v="Gold Earrings"/>
    <s v="Gold"/>
    <s v="Karan"/>
    <n v="1"/>
    <n v="28783"/>
    <n v="28783"/>
    <n v="21881.58"/>
    <n v="6901.42"/>
    <n v="0.23977417225445577"/>
  </r>
  <r>
    <x v="379"/>
    <x v="208"/>
    <s v="Bangalore"/>
    <s v="Anklets"/>
    <s v="Anklet"/>
    <s v="Silver"/>
    <s v="Karan"/>
    <n v="1"/>
    <n v="75763"/>
    <n v="75763"/>
    <n v="55123.45"/>
    <n v="20639.55"/>
    <n v="0.27242255454509456"/>
  </r>
  <r>
    <x v="380"/>
    <x v="104"/>
    <s v="Ahmedabad"/>
    <s v="Bracelets"/>
    <s v="Bangle"/>
    <s v="Gold"/>
    <s v="Nisha"/>
    <n v="5"/>
    <n v="37513"/>
    <n v="187565"/>
    <n v="159029.10999999999"/>
    <n v="28535.89"/>
    <n v="0.15213867192706529"/>
  </r>
  <r>
    <x v="381"/>
    <x v="228"/>
    <s v="Delhi"/>
    <s v="Necklaces"/>
    <s v="Gold Necklace"/>
    <s v="Gold"/>
    <s v="Karan"/>
    <n v="3"/>
    <n v="26392"/>
    <n v="79176"/>
    <n v="62158.61"/>
    <n v="17017.39"/>
    <n v="0.21493116600990197"/>
  </r>
  <r>
    <x v="382"/>
    <x v="161"/>
    <s v="Jaipur"/>
    <s v="Anklets"/>
    <s v="Anklet"/>
    <s v="Silver"/>
    <s v="Karan"/>
    <n v="1"/>
    <n v="70290"/>
    <n v="70290"/>
    <n v="49465.64"/>
    <n v="20824.36"/>
    <n v="0.29626347986911367"/>
  </r>
  <r>
    <x v="383"/>
    <x v="74"/>
    <s v="Delhi"/>
    <s v="Necklaces"/>
    <s v="Gold Necklace"/>
    <s v="Gold"/>
    <s v="Aisha"/>
    <n v="4"/>
    <n v="23394"/>
    <n v="93576"/>
    <n v="70142.38"/>
    <n v="23433.62"/>
    <n v="0.25042339916217832"/>
  </r>
  <r>
    <x v="384"/>
    <x v="94"/>
    <s v="Mumbai"/>
    <s v="Anklets"/>
    <s v="Anklet"/>
    <s v="Silver"/>
    <s v="Meera"/>
    <n v="5"/>
    <n v="22552"/>
    <n v="112760"/>
    <n v="81853.89"/>
    <n v="30906.11"/>
    <n v="0.27408753103937566"/>
  </r>
  <r>
    <x v="385"/>
    <x v="10"/>
    <s v="Pune"/>
    <s v="Bracelets"/>
    <s v="Bangle"/>
    <s v="Gold"/>
    <s v="Meera"/>
    <n v="3"/>
    <n v="46393"/>
    <n v="139179"/>
    <n v="100291.1"/>
    <n v="38887.9"/>
    <n v="0.27940924995868632"/>
  </r>
  <r>
    <x v="386"/>
    <x v="229"/>
    <s v="Jaipur"/>
    <s v="Pendants"/>
    <s v="Pendant"/>
    <s v="Gold"/>
    <s v="Arjun"/>
    <n v="3"/>
    <n v="8886"/>
    <n v="26658"/>
    <n v="21524.080000000002"/>
    <n v="5133.92"/>
    <n v="0.19258458999174732"/>
  </r>
  <r>
    <x v="387"/>
    <x v="107"/>
    <s v="Delhi"/>
    <s v="Bracelets"/>
    <s v="Bangle"/>
    <s v="Gold"/>
    <s v="Meera"/>
    <n v="2"/>
    <n v="78369"/>
    <n v="156738"/>
    <n v="111410.4"/>
    <n v="45327.6"/>
    <n v="0.28919343107606321"/>
  </r>
  <r>
    <x v="388"/>
    <x v="230"/>
    <s v="Delhi"/>
    <s v="Necklaces"/>
    <s v="Gold Necklace"/>
    <s v="Gold"/>
    <s v="Arjun"/>
    <n v="5"/>
    <n v="38400"/>
    <n v="192000"/>
    <n v="128176.5"/>
    <n v="63823.5"/>
    <n v="0.3324140625"/>
  </r>
  <r>
    <x v="389"/>
    <x v="231"/>
    <s v="Ahmedabad"/>
    <s v="Earrings"/>
    <s v="Diamond Earrings"/>
    <s v="Diamond"/>
    <s v="Arjun"/>
    <n v="3"/>
    <n v="34779"/>
    <n v="104337"/>
    <n v="88104.68"/>
    <n v="16232.32"/>
    <n v="0.1555758743302951"/>
  </r>
  <r>
    <x v="390"/>
    <x v="123"/>
    <s v="Surat"/>
    <s v="Rings"/>
    <s v="Gold Ring"/>
    <s v="Gold"/>
    <s v="Aisha"/>
    <n v="5"/>
    <n v="73187"/>
    <n v="365935"/>
    <n v="259800.6"/>
    <n v="106134.39999999999"/>
    <n v="0.29003620861628432"/>
  </r>
  <r>
    <x v="391"/>
    <x v="232"/>
    <s v="Bangalore"/>
    <s v="Pendants"/>
    <s v="Pendant"/>
    <s v="Gold"/>
    <s v="Karan"/>
    <n v="5"/>
    <n v="65299"/>
    <n v="326495"/>
    <n v="246010.58"/>
    <n v="80484.42"/>
    <n v="0.24651042129282225"/>
  </r>
  <r>
    <x v="392"/>
    <x v="55"/>
    <s v="Pune"/>
    <s v="Pendants"/>
    <s v="Pendant"/>
    <s v="Gold"/>
    <s v="Nisha"/>
    <n v="4"/>
    <n v="68849"/>
    <n v="275396"/>
    <n v="198709.89"/>
    <n v="76686.11"/>
    <n v="0.27845760287004895"/>
  </r>
  <r>
    <x v="393"/>
    <x v="233"/>
    <s v="Pune"/>
    <s v="Anklets"/>
    <s v="Anklet"/>
    <s v="Silver"/>
    <s v="Karan"/>
    <n v="1"/>
    <n v="16948"/>
    <n v="16948"/>
    <n v="12796.58"/>
    <n v="4151.42"/>
    <n v="0.24495043662969082"/>
  </r>
  <r>
    <x v="394"/>
    <x v="99"/>
    <s v="Delhi"/>
    <s v="Rings"/>
    <s v="Diamond Ring"/>
    <s v="Diamond"/>
    <s v="Karan"/>
    <n v="4"/>
    <n v="28213"/>
    <n v="112852"/>
    <n v="93212.03"/>
    <n v="19639.97"/>
    <n v="0.17403298124977848"/>
  </r>
  <r>
    <x v="395"/>
    <x v="208"/>
    <s v="Delhi"/>
    <s v="Bracelets"/>
    <s v="Bracelet"/>
    <s v="Gold"/>
    <s v="Meera"/>
    <n v="5"/>
    <n v="52994"/>
    <n v="264970"/>
    <n v="208879.99"/>
    <n v="56090.01"/>
    <n v="0.21168437936370155"/>
  </r>
  <r>
    <x v="396"/>
    <x v="234"/>
    <s v="Mumbai"/>
    <s v="Rings"/>
    <s v="Diamond Ring"/>
    <s v="Diamond"/>
    <s v="Karan"/>
    <n v="3"/>
    <n v="17841"/>
    <n v="53523"/>
    <n v="43632.26"/>
    <n v="9890.74"/>
    <n v="0.18479420062403079"/>
  </r>
  <r>
    <x v="397"/>
    <x v="165"/>
    <s v="Mumbai"/>
    <s v="Pendants"/>
    <s v="Pendant"/>
    <s v="Gold"/>
    <s v="Aisha"/>
    <n v="3"/>
    <n v="53004"/>
    <n v="159012"/>
    <n v="129453.41"/>
    <n v="29558.59"/>
    <n v="0.18588905239856113"/>
  </r>
  <r>
    <x v="398"/>
    <x v="138"/>
    <s v="Delhi"/>
    <s v="Pendants"/>
    <s v="Pendant"/>
    <s v="Gold"/>
    <s v="Nisha"/>
    <n v="5"/>
    <n v="46001"/>
    <n v="230005"/>
    <n v="187047.55"/>
    <n v="42957.45"/>
    <n v="0.18676746157692223"/>
  </r>
  <r>
    <x v="399"/>
    <x v="235"/>
    <s v="Jaipur"/>
    <s v="Necklaces"/>
    <s v="Diamond Necklace"/>
    <s v="Diamond"/>
    <s v="Rohan"/>
    <n v="2"/>
    <n v="15886"/>
    <n v="31772"/>
    <n v="24655.7"/>
    <n v="7116.3"/>
    <n v="0.22398023416845023"/>
  </r>
  <r>
    <x v="400"/>
    <x v="236"/>
    <s v="Surat"/>
    <s v="Anklets"/>
    <s v="Anklet"/>
    <s v="Silver"/>
    <s v="Karan"/>
    <n v="1"/>
    <n v="61925"/>
    <n v="61925"/>
    <n v="40384.19"/>
    <n v="21540.81"/>
    <n v="0.34785320952765442"/>
  </r>
  <r>
    <x v="401"/>
    <x v="31"/>
    <s v="Ahmedabad"/>
    <s v="Rings"/>
    <s v="Gold Ring"/>
    <s v="Gold"/>
    <s v="Nisha"/>
    <n v="5"/>
    <n v="8512"/>
    <n v="42560"/>
    <n v="35469.78"/>
    <n v="7090.22"/>
    <n v="0.16659351503759398"/>
  </r>
  <r>
    <x v="402"/>
    <x v="179"/>
    <s v="Bangalore"/>
    <s v="Bracelets"/>
    <s v="Bracelet"/>
    <s v="Gold"/>
    <s v="Aisha"/>
    <n v="1"/>
    <n v="11870"/>
    <n v="11870"/>
    <n v="8182.35"/>
    <n v="3687.65"/>
    <n v="0.31066975568660488"/>
  </r>
  <r>
    <x v="403"/>
    <x v="131"/>
    <s v="Bangalore"/>
    <s v="Bracelets"/>
    <s v="Bangle"/>
    <s v="Gold"/>
    <s v="Arjun"/>
    <n v="3"/>
    <n v="77663"/>
    <n v="232989"/>
    <n v="175409.77"/>
    <n v="57579.23"/>
    <n v="0.24713282601324527"/>
  </r>
  <r>
    <x v="404"/>
    <x v="109"/>
    <s v="Jaipur"/>
    <s v="Necklaces"/>
    <s v="Gold Necklace"/>
    <s v="Gold"/>
    <s v="Rohan"/>
    <n v="5"/>
    <n v="23925"/>
    <n v="119625"/>
    <n v="81233.84"/>
    <n v="38391.160000000003"/>
    <n v="0.32092923719958205"/>
  </r>
  <r>
    <x v="405"/>
    <x v="237"/>
    <s v="Bangalore"/>
    <s v="Pendants"/>
    <s v="Pendant"/>
    <s v="Gold"/>
    <s v="Arjun"/>
    <n v="1"/>
    <n v="21120"/>
    <n v="21120"/>
    <n v="14049.57"/>
    <n v="7070.43"/>
    <n v="0.33477414772727276"/>
  </r>
  <r>
    <x v="406"/>
    <x v="49"/>
    <s v="Delhi"/>
    <s v="Pendants"/>
    <s v="Pendant"/>
    <s v="Gold"/>
    <s v="Meera"/>
    <n v="4"/>
    <n v="16141"/>
    <n v="64564"/>
    <n v="50361.21"/>
    <n v="14202.79"/>
    <n v="0.21998001982528964"/>
  </r>
  <r>
    <x v="407"/>
    <x v="238"/>
    <s v="Ahmedabad"/>
    <s v="Anklets"/>
    <s v="Anklet"/>
    <s v="Silver"/>
    <s v="Rohan"/>
    <n v="3"/>
    <n v="44103"/>
    <n v="132309"/>
    <n v="90483.87"/>
    <n v="41825.129999999997"/>
    <n v="0.31611704419200504"/>
  </r>
  <r>
    <x v="408"/>
    <x v="45"/>
    <s v="Pune"/>
    <s v="Earrings"/>
    <s v="Gold Earrings"/>
    <s v="Gold"/>
    <s v="Aisha"/>
    <n v="1"/>
    <n v="53730"/>
    <n v="53730"/>
    <n v="36984"/>
    <n v="16746"/>
    <n v="0.31166945840312676"/>
  </r>
  <r>
    <x v="409"/>
    <x v="69"/>
    <s v="Delhi"/>
    <s v="Anklets"/>
    <s v="Anklet"/>
    <s v="Silver"/>
    <s v="Aisha"/>
    <n v="2"/>
    <n v="59903"/>
    <n v="119806"/>
    <n v="91835.18"/>
    <n v="27970.82"/>
    <n v="0.23346760596297347"/>
  </r>
  <r>
    <x v="410"/>
    <x v="225"/>
    <s v="Delhi"/>
    <s v="Rings"/>
    <s v="Gold Ring"/>
    <s v="Gold"/>
    <s v="Aisha"/>
    <n v="2"/>
    <n v="40680"/>
    <n v="81360"/>
    <n v="56511.02"/>
    <n v="24848.98"/>
    <n v="0.30542010816125859"/>
  </r>
  <r>
    <x v="411"/>
    <x v="239"/>
    <s v="Jaipur"/>
    <s v="Necklaces"/>
    <s v="Gold Necklace"/>
    <s v="Gold"/>
    <s v="Rohan"/>
    <n v="1"/>
    <n v="67695"/>
    <n v="67695"/>
    <n v="48113.23"/>
    <n v="19581.77"/>
    <n v="0.28926464288352166"/>
  </r>
  <r>
    <x v="412"/>
    <x v="25"/>
    <s v="Ahmedabad"/>
    <s v="Anklets"/>
    <s v="Anklet"/>
    <s v="Silver"/>
    <s v="Meera"/>
    <n v="2"/>
    <n v="59091"/>
    <n v="118182"/>
    <n v="92770.74"/>
    <n v="25411.26"/>
    <n v="0.21501802304919529"/>
  </r>
  <r>
    <x v="413"/>
    <x v="240"/>
    <s v="Mumbai"/>
    <s v="Anklets"/>
    <s v="Anklet"/>
    <s v="Silver"/>
    <s v="Meera"/>
    <n v="4"/>
    <n v="71489"/>
    <n v="285956"/>
    <n v="187154"/>
    <n v="98802"/>
    <n v="0.34551469456839512"/>
  </r>
  <r>
    <x v="414"/>
    <x v="173"/>
    <s v="Surat"/>
    <s v="Necklaces"/>
    <s v="Diamond Necklace"/>
    <s v="Diamond"/>
    <s v="Rohan"/>
    <n v="3"/>
    <n v="57677"/>
    <n v="173031"/>
    <n v="118926.03"/>
    <n v="54104.97"/>
    <n v="0.31268946027012501"/>
  </r>
  <r>
    <x v="415"/>
    <x v="241"/>
    <s v="Delhi"/>
    <s v="Earrings"/>
    <s v="Gold Earrings"/>
    <s v="Gold"/>
    <s v="Arjun"/>
    <n v="1"/>
    <n v="51911"/>
    <n v="51911"/>
    <n v="39283.65"/>
    <n v="12627.35"/>
    <n v="0.2432499855521951"/>
  </r>
  <r>
    <x v="416"/>
    <x v="0"/>
    <s v="Ahmedabad"/>
    <s v="Bracelets"/>
    <s v="Bracelet"/>
    <s v="Gold"/>
    <s v="Meera"/>
    <n v="1"/>
    <n v="24159"/>
    <n v="24159"/>
    <n v="17743.71"/>
    <n v="6415.29"/>
    <n v="0.26554451757109154"/>
  </r>
  <r>
    <x v="417"/>
    <x v="178"/>
    <s v="Jaipur"/>
    <s v="Earrings"/>
    <s v="Diamond Earrings"/>
    <s v="Diamond"/>
    <s v="Rohan"/>
    <n v="2"/>
    <n v="69212"/>
    <n v="138424"/>
    <n v="97826.65"/>
    <n v="40597.35"/>
    <n v="0.29328259550366986"/>
  </r>
  <r>
    <x v="418"/>
    <x v="19"/>
    <s v="Delhi"/>
    <s v="Necklaces"/>
    <s v="Diamond Necklace"/>
    <s v="Diamond"/>
    <s v="Aisha"/>
    <n v="1"/>
    <n v="52750"/>
    <n v="52750"/>
    <n v="42778.89"/>
    <n v="9971.11"/>
    <n v="0.18902578199052134"/>
  </r>
  <r>
    <x v="419"/>
    <x v="56"/>
    <s v="Pune"/>
    <s v="Necklaces"/>
    <s v="Diamond Necklace"/>
    <s v="Diamond"/>
    <s v="Rohan"/>
    <n v="2"/>
    <n v="43345"/>
    <n v="86690"/>
    <n v="65795.39"/>
    <n v="20894.61"/>
    <n v="0.24102676202560849"/>
  </r>
  <r>
    <x v="420"/>
    <x v="191"/>
    <s v="Jaipur"/>
    <s v="Necklaces"/>
    <s v="Gold Necklace"/>
    <s v="Gold"/>
    <s v="Meera"/>
    <n v="2"/>
    <n v="28869"/>
    <n v="57738"/>
    <n v="41778.26"/>
    <n v="15959.74"/>
    <n v="0.27641657140877757"/>
  </r>
  <r>
    <x v="421"/>
    <x v="242"/>
    <s v="Pune"/>
    <s v="Necklaces"/>
    <s v="Diamond Necklace"/>
    <s v="Diamond"/>
    <s v="Meera"/>
    <n v="5"/>
    <n v="35270"/>
    <n v="176350"/>
    <n v="125111.64"/>
    <n v="51238.36"/>
    <n v="0.29054924865324638"/>
  </r>
  <r>
    <x v="422"/>
    <x v="221"/>
    <s v="Jaipur"/>
    <s v="Bracelets"/>
    <s v="Bangle"/>
    <s v="Gold"/>
    <s v="Rohan"/>
    <n v="4"/>
    <n v="25163"/>
    <n v="100652"/>
    <n v="84388.39"/>
    <n v="16263.61"/>
    <n v="0.16158258156817551"/>
  </r>
  <r>
    <x v="423"/>
    <x v="179"/>
    <s v="Jaipur"/>
    <s v="Earrings"/>
    <s v="Gold Earrings"/>
    <s v="Gold"/>
    <s v="Meera"/>
    <n v="3"/>
    <n v="78079"/>
    <n v="234237"/>
    <n v="163790.25"/>
    <n v="70446.75"/>
    <n v="0.30074988153024501"/>
  </r>
  <r>
    <x v="424"/>
    <x v="243"/>
    <s v="Jaipur"/>
    <s v="Anklets"/>
    <s v="Anklet"/>
    <s v="Silver"/>
    <s v="Rohan"/>
    <n v="1"/>
    <n v="75243"/>
    <n v="75243"/>
    <n v="50284.44"/>
    <n v="24958.560000000001"/>
    <n v="0.33170607232566485"/>
  </r>
  <r>
    <x v="425"/>
    <x v="35"/>
    <s v="Pune"/>
    <s v="Earrings"/>
    <s v="Gold Earrings"/>
    <s v="Gold"/>
    <s v="Meera"/>
    <n v="5"/>
    <n v="27014"/>
    <n v="135070"/>
    <n v="96191.15"/>
    <n v="38878.85"/>
    <n v="0.28784222995483821"/>
  </r>
  <r>
    <x v="426"/>
    <x v="244"/>
    <s v="Pune"/>
    <s v="Bracelets"/>
    <s v="Bracelet"/>
    <s v="Gold"/>
    <s v="Aisha"/>
    <n v="2"/>
    <n v="38351"/>
    <n v="76702"/>
    <n v="54781.14"/>
    <n v="21920.86"/>
    <n v="0.28579254778232643"/>
  </r>
  <r>
    <x v="427"/>
    <x v="241"/>
    <s v="Surat"/>
    <s v="Rings"/>
    <s v="Diamond Ring"/>
    <s v="Diamond"/>
    <s v="Arjun"/>
    <n v="5"/>
    <n v="46922"/>
    <n v="234610"/>
    <n v="161544.20000000001"/>
    <n v="73065.8"/>
    <n v="0.31143514769191427"/>
  </r>
  <r>
    <x v="428"/>
    <x v="10"/>
    <s v="Surat"/>
    <s v="Earrings"/>
    <s v="Gold Earrings"/>
    <s v="Gold"/>
    <s v="Rohan"/>
    <n v="2"/>
    <n v="60294"/>
    <n v="120588"/>
    <n v="85192.14"/>
    <n v="35395.86"/>
    <n v="0.29352721663847148"/>
  </r>
  <r>
    <x v="429"/>
    <x v="144"/>
    <s v="Bangalore"/>
    <s v="Bracelets"/>
    <s v="Bracelet"/>
    <s v="Gold"/>
    <s v="Meera"/>
    <n v="2"/>
    <n v="44244"/>
    <n v="88488"/>
    <n v="60638.94"/>
    <n v="27849.06"/>
    <n v="0.31472131814483323"/>
  </r>
  <r>
    <x v="430"/>
    <x v="31"/>
    <s v="Pune"/>
    <s v="Earrings"/>
    <s v="Diamond Earrings"/>
    <s v="Diamond"/>
    <s v="Nisha"/>
    <n v="3"/>
    <n v="62076"/>
    <n v="186228"/>
    <n v="121989.16"/>
    <n v="64238.84"/>
    <n v="0.34494726893914984"/>
  </r>
  <r>
    <x v="431"/>
    <x v="245"/>
    <s v="Mumbai"/>
    <s v="Bracelets"/>
    <s v="Bangle"/>
    <s v="Gold"/>
    <s v="Meera"/>
    <n v="1"/>
    <n v="31810"/>
    <n v="31810"/>
    <n v="22530.87"/>
    <n v="9279.1299999999992"/>
    <n v="0.29170480980823638"/>
  </r>
  <r>
    <x v="432"/>
    <x v="246"/>
    <s v="Jaipur"/>
    <s v="Earrings"/>
    <s v="Gold Earrings"/>
    <s v="Gold"/>
    <s v="Nisha"/>
    <n v="1"/>
    <n v="61039"/>
    <n v="61039"/>
    <n v="40163.64"/>
    <n v="20875.36"/>
    <n v="0.34200036042530185"/>
  </r>
  <r>
    <x v="433"/>
    <x v="158"/>
    <s v="Delhi"/>
    <s v="Necklaces"/>
    <s v="Gold Necklace"/>
    <s v="Gold"/>
    <s v="Rohan"/>
    <n v="2"/>
    <n v="57904"/>
    <n v="115808"/>
    <n v="92375.95"/>
    <n v="23432.05"/>
    <n v="0.20233533089251174"/>
  </r>
  <r>
    <x v="434"/>
    <x v="247"/>
    <s v="Ahmedabad"/>
    <s v="Pendants"/>
    <s v="Pendant"/>
    <s v="Gold"/>
    <s v="Nisha"/>
    <n v="2"/>
    <n v="37839"/>
    <n v="75678"/>
    <n v="57820.49"/>
    <n v="17857.509999999998"/>
    <n v="0.2359669917281112"/>
  </r>
  <r>
    <x v="435"/>
    <x v="248"/>
    <s v="Ahmedabad"/>
    <s v="Pendants"/>
    <s v="Pendant"/>
    <s v="Gold"/>
    <s v="Meera"/>
    <n v="5"/>
    <n v="53749"/>
    <n v="268745"/>
    <n v="224975.83"/>
    <n v="43769.17"/>
    <n v="0.1628650579545666"/>
  </r>
  <r>
    <x v="436"/>
    <x v="85"/>
    <s v="Bangalore"/>
    <s v="Rings"/>
    <s v="Diamond Ring"/>
    <s v="Diamond"/>
    <s v="Nisha"/>
    <n v="1"/>
    <n v="14205"/>
    <n v="14205"/>
    <n v="12000.75"/>
    <n v="2204.25"/>
    <n v="0.1551742344244984"/>
  </r>
  <r>
    <x v="437"/>
    <x v="249"/>
    <s v="Surat"/>
    <s v="Rings"/>
    <s v="Diamond Ring"/>
    <s v="Diamond"/>
    <s v="Karan"/>
    <n v="3"/>
    <n v="19290"/>
    <n v="57870"/>
    <n v="42444.59"/>
    <n v="15425.41"/>
    <n v="0.2665527907378607"/>
  </r>
  <r>
    <x v="438"/>
    <x v="114"/>
    <s v="Pune"/>
    <s v="Bracelets"/>
    <s v="Bracelet"/>
    <s v="Gold"/>
    <s v="Arjun"/>
    <n v="3"/>
    <n v="77117"/>
    <n v="231351"/>
    <n v="154539.39000000001"/>
    <n v="76811.61"/>
    <n v="0.3320133044594577"/>
  </r>
  <r>
    <x v="439"/>
    <x v="71"/>
    <s v="Delhi"/>
    <s v="Bracelets"/>
    <s v="Bracelet"/>
    <s v="Gold"/>
    <s v="Karan"/>
    <n v="5"/>
    <n v="67346"/>
    <n v="336730"/>
    <n v="253130.6"/>
    <n v="83599.399999999994"/>
    <n v="0.24826834555875626"/>
  </r>
  <r>
    <x v="440"/>
    <x v="250"/>
    <s v="Delhi"/>
    <s v="Necklaces"/>
    <s v="Diamond Necklace"/>
    <s v="Diamond"/>
    <s v="Nisha"/>
    <n v="2"/>
    <n v="72161"/>
    <n v="144322"/>
    <n v="115801.73"/>
    <n v="28520.27"/>
    <n v="0.1976155402502737"/>
  </r>
  <r>
    <x v="441"/>
    <x v="251"/>
    <s v="Pune"/>
    <s v="Rings"/>
    <s v="Gold Ring"/>
    <s v="Gold"/>
    <s v="Arjun"/>
    <n v="2"/>
    <n v="79618"/>
    <n v="159236"/>
    <n v="108716.67"/>
    <n v="50519.33"/>
    <n v="0.31726073249767639"/>
  </r>
  <r>
    <x v="442"/>
    <x v="95"/>
    <s v="Jaipur"/>
    <s v="Necklaces"/>
    <s v="Diamond Necklace"/>
    <s v="Diamond"/>
    <s v="Karan"/>
    <n v="1"/>
    <n v="30026"/>
    <n v="30026"/>
    <n v="21665.72"/>
    <n v="8360.2800000000007"/>
    <n v="0.27843468993538933"/>
  </r>
  <r>
    <x v="443"/>
    <x v="252"/>
    <s v="Surat"/>
    <s v="Bracelets"/>
    <s v="Bracelet"/>
    <s v="Gold"/>
    <s v="Rohan"/>
    <n v="3"/>
    <n v="25981"/>
    <n v="77943"/>
    <n v="52791.62"/>
    <n v="25151.38"/>
    <n v="0.32268940122910333"/>
  </r>
  <r>
    <x v="444"/>
    <x v="238"/>
    <s v="Pune"/>
    <s v="Bracelets"/>
    <s v="Bangle"/>
    <s v="Gold"/>
    <s v="Meera"/>
    <n v="2"/>
    <n v="8770"/>
    <n v="17540"/>
    <n v="13208.96"/>
    <n v="4331.04"/>
    <n v="0.2469236031927024"/>
  </r>
  <r>
    <x v="445"/>
    <x v="253"/>
    <s v="Mumbai"/>
    <s v="Bracelets"/>
    <s v="Bangle"/>
    <s v="Gold"/>
    <s v="Nisha"/>
    <n v="3"/>
    <n v="25484"/>
    <n v="76452"/>
    <n v="63220.99"/>
    <n v="13231.01"/>
    <n v="0.1730629676136661"/>
  </r>
  <r>
    <x v="446"/>
    <x v="2"/>
    <s v="Jaipur"/>
    <s v="Necklaces"/>
    <s v="Gold Necklace"/>
    <s v="Gold"/>
    <s v="Arjun"/>
    <n v="3"/>
    <n v="23462"/>
    <n v="70386"/>
    <n v="53468.87"/>
    <n v="16917.13"/>
    <n v="0.24034793851049926"/>
  </r>
  <r>
    <x v="447"/>
    <x v="53"/>
    <s v="Pune"/>
    <s v="Necklaces"/>
    <s v="Gold Necklace"/>
    <s v="Gold"/>
    <s v="Nisha"/>
    <n v="5"/>
    <n v="68447"/>
    <n v="342235"/>
    <n v="279913.03999999998"/>
    <n v="62321.96"/>
    <n v="0.18210282408286704"/>
  </r>
  <r>
    <x v="448"/>
    <x v="212"/>
    <s v="Bangalore"/>
    <s v="Bracelets"/>
    <s v="Bracelet"/>
    <s v="Gold"/>
    <s v="Rohan"/>
    <n v="3"/>
    <n v="9621"/>
    <n v="28863"/>
    <n v="20841.86"/>
    <n v="8021.14"/>
    <n v="0.27790389079444272"/>
  </r>
  <r>
    <x v="449"/>
    <x v="94"/>
    <s v="Surat"/>
    <s v="Necklaces"/>
    <s v="Diamond Necklace"/>
    <s v="Diamond"/>
    <s v="Aisha"/>
    <n v="3"/>
    <n v="33836"/>
    <n v="101508"/>
    <n v="68225.460000000006"/>
    <n v="33282.54"/>
    <n v="0.32788095519564964"/>
  </r>
  <r>
    <x v="450"/>
    <x v="254"/>
    <s v="Delhi"/>
    <s v="Earrings"/>
    <s v="Gold Earrings"/>
    <s v="Gold"/>
    <s v="Aisha"/>
    <n v="3"/>
    <n v="66336"/>
    <n v="199008"/>
    <n v="148008.6"/>
    <n v="50999.4"/>
    <n v="0.25626808972503617"/>
  </r>
  <r>
    <x v="451"/>
    <x v="98"/>
    <s v="Ahmedabad"/>
    <s v="Earrings"/>
    <s v="Diamond Earrings"/>
    <s v="Diamond"/>
    <s v="Rohan"/>
    <n v="1"/>
    <n v="13974"/>
    <n v="13974"/>
    <n v="9113.32"/>
    <n v="4860.68"/>
    <n v="0.34783741233719767"/>
  </r>
  <r>
    <x v="452"/>
    <x v="92"/>
    <s v="Surat"/>
    <s v="Bracelets"/>
    <s v="Bangle"/>
    <s v="Gold"/>
    <s v="Nisha"/>
    <n v="5"/>
    <n v="42659"/>
    <n v="213295"/>
    <n v="143283.16"/>
    <n v="70011.839999999997"/>
    <n v="0.32823948053165802"/>
  </r>
  <r>
    <x v="453"/>
    <x v="255"/>
    <s v="Delhi"/>
    <s v="Bracelets"/>
    <s v="Bangle"/>
    <s v="Gold"/>
    <s v="Meera"/>
    <n v="5"/>
    <n v="50180"/>
    <n v="250900"/>
    <n v="163501.6"/>
    <n v="87398.399999999994"/>
    <n v="0.34833957752092465"/>
  </r>
  <r>
    <x v="454"/>
    <x v="144"/>
    <s v="Pune"/>
    <s v="Rings"/>
    <s v="Diamond Ring"/>
    <s v="Diamond"/>
    <s v="Karan"/>
    <n v="5"/>
    <n v="40953"/>
    <n v="204765"/>
    <n v="159842.54999999999"/>
    <n v="44922.45"/>
    <n v="0.21938539301150098"/>
  </r>
  <r>
    <x v="455"/>
    <x v="35"/>
    <s v="Mumbai"/>
    <s v="Rings"/>
    <s v="Diamond Ring"/>
    <s v="Diamond"/>
    <s v="Nisha"/>
    <n v="1"/>
    <n v="59809"/>
    <n v="59809"/>
    <n v="48918.720000000001"/>
    <n v="10890.28"/>
    <n v="0.18208430169372503"/>
  </r>
  <r>
    <x v="456"/>
    <x v="247"/>
    <s v="Ahmedabad"/>
    <s v="Earrings"/>
    <s v="Gold Earrings"/>
    <s v="Gold"/>
    <s v="Rohan"/>
    <n v="5"/>
    <n v="30080"/>
    <n v="150400"/>
    <n v="100833.49"/>
    <n v="49566.51"/>
    <n v="0.32956456117021277"/>
  </r>
  <r>
    <x v="457"/>
    <x v="126"/>
    <s v="Pune"/>
    <s v="Earrings"/>
    <s v="Gold Earrings"/>
    <s v="Gold"/>
    <s v="Arjun"/>
    <n v="4"/>
    <n v="32188"/>
    <n v="128752"/>
    <n v="100357.16"/>
    <n v="28394.84"/>
    <n v="0.22053902075307569"/>
  </r>
  <r>
    <x v="458"/>
    <x v="154"/>
    <s v="Ahmedabad"/>
    <s v="Earrings"/>
    <s v="Diamond Earrings"/>
    <s v="Diamond"/>
    <s v="Rohan"/>
    <n v="2"/>
    <n v="56401"/>
    <n v="112802"/>
    <n v="92222.87"/>
    <n v="20579.13"/>
    <n v="0.18243586106629317"/>
  </r>
  <r>
    <x v="459"/>
    <x v="75"/>
    <s v="Mumbai"/>
    <s v="Earrings"/>
    <s v="Gold Earrings"/>
    <s v="Gold"/>
    <s v="Aisha"/>
    <n v="1"/>
    <n v="60851"/>
    <n v="60851"/>
    <n v="50569.56"/>
    <n v="10281.44"/>
    <n v="0.16896090450444529"/>
  </r>
  <r>
    <x v="460"/>
    <x v="256"/>
    <s v="Delhi"/>
    <s v="Necklaces"/>
    <s v="Diamond Necklace"/>
    <s v="Diamond"/>
    <s v="Meera"/>
    <n v="2"/>
    <n v="47265"/>
    <n v="94530"/>
    <n v="72837.73"/>
    <n v="21692.27"/>
    <n v="0.22947498148735851"/>
  </r>
  <r>
    <x v="461"/>
    <x v="221"/>
    <s v="Mumbai"/>
    <s v="Rings"/>
    <s v="Diamond Ring"/>
    <s v="Diamond"/>
    <s v="Nisha"/>
    <n v="2"/>
    <n v="26127"/>
    <n v="52254"/>
    <n v="38596.769999999997"/>
    <n v="13657.23"/>
    <n v="0.2613623837409576"/>
  </r>
  <r>
    <x v="462"/>
    <x v="208"/>
    <s v="Surat"/>
    <s v="Bracelets"/>
    <s v="Bracelet"/>
    <s v="Gold"/>
    <s v="Aisha"/>
    <n v="4"/>
    <n v="33010"/>
    <n v="132040"/>
    <n v="91590.21"/>
    <n v="40449.79"/>
    <n v="0.3063449712208422"/>
  </r>
  <r>
    <x v="463"/>
    <x v="37"/>
    <s v="Surat"/>
    <s v="Earrings"/>
    <s v="Diamond Earrings"/>
    <s v="Diamond"/>
    <s v="Aisha"/>
    <n v="5"/>
    <n v="63763"/>
    <n v="318815"/>
    <n v="216358.2"/>
    <n v="102456.8"/>
    <n v="0.3213675642614055"/>
  </r>
  <r>
    <x v="464"/>
    <x v="67"/>
    <s v="Pune"/>
    <s v="Rings"/>
    <s v="Diamond Ring"/>
    <s v="Diamond"/>
    <s v="Aisha"/>
    <n v="4"/>
    <n v="52389"/>
    <n v="209556"/>
    <n v="138839.98000000001"/>
    <n v="70716.02"/>
    <n v="0.33745643169367617"/>
  </r>
  <r>
    <x v="465"/>
    <x v="197"/>
    <s v="Pune"/>
    <s v="Rings"/>
    <s v="Gold Ring"/>
    <s v="Gold"/>
    <s v="Rohan"/>
    <n v="4"/>
    <n v="46763"/>
    <n v="187052"/>
    <n v="121740.68"/>
    <n v="65311.32"/>
    <n v="0.3491613027393452"/>
  </r>
  <r>
    <x v="466"/>
    <x v="131"/>
    <s v="Pune"/>
    <s v="Anklets"/>
    <s v="Anklet"/>
    <s v="Silver"/>
    <s v="Karan"/>
    <n v="2"/>
    <n v="69451"/>
    <n v="138902"/>
    <n v="92648.8"/>
    <n v="46253.2"/>
    <n v="0.33299160559243207"/>
  </r>
  <r>
    <x v="467"/>
    <x v="96"/>
    <s v="Jaipur"/>
    <s v="Earrings"/>
    <s v="Diamond Earrings"/>
    <s v="Diamond"/>
    <s v="Meera"/>
    <n v="5"/>
    <n v="28232"/>
    <n v="141160"/>
    <n v="119262.39"/>
    <n v="21897.61"/>
    <n v="0.15512616888637007"/>
  </r>
  <r>
    <x v="468"/>
    <x v="194"/>
    <s v="Jaipur"/>
    <s v="Anklets"/>
    <s v="Anklet"/>
    <s v="Silver"/>
    <s v="Aisha"/>
    <n v="3"/>
    <n v="46933"/>
    <n v="140799"/>
    <n v="107430.29"/>
    <n v="33368.71"/>
    <n v="0.23699536218297004"/>
  </r>
  <r>
    <x v="469"/>
    <x v="257"/>
    <s v="Ahmedabad"/>
    <s v="Bracelets"/>
    <s v="Bracelet"/>
    <s v="Gold"/>
    <s v="Meera"/>
    <n v="2"/>
    <n v="47231"/>
    <n v="94462"/>
    <n v="77747.19"/>
    <n v="16714.810000000001"/>
    <n v="0.17694744976816076"/>
  </r>
  <r>
    <x v="470"/>
    <x v="258"/>
    <s v="Pune"/>
    <s v="Pendants"/>
    <s v="Pendant"/>
    <s v="Gold"/>
    <s v="Aisha"/>
    <n v="2"/>
    <n v="66634"/>
    <n v="133268"/>
    <n v="105051.41"/>
    <n v="28216.59"/>
    <n v="0.21172817180418405"/>
  </r>
  <r>
    <x v="471"/>
    <x v="6"/>
    <s v="Pune"/>
    <s v="Necklaces"/>
    <s v="Gold Necklace"/>
    <s v="Gold"/>
    <s v="Arjun"/>
    <n v="5"/>
    <n v="62575"/>
    <n v="312875"/>
    <n v="225895.83"/>
    <n v="86979.17"/>
    <n v="0.27799974430683178"/>
  </r>
  <r>
    <x v="472"/>
    <x v="259"/>
    <s v="Jaipur"/>
    <s v="Necklaces"/>
    <s v="Diamond Necklace"/>
    <s v="Diamond"/>
    <s v="Meera"/>
    <n v="3"/>
    <n v="22975"/>
    <n v="68925"/>
    <n v="47933.82"/>
    <n v="20991.18"/>
    <n v="0.30455103373231773"/>
  </r>
  <r>
    <x v="473"/>
    <x v="58"/>
    <s v="Jaipur"/>
    <s v="Necklaces"/>
    <s v="Diamond Necklace"/>
    <s v="Diamond"/>
    <s v="Nisha"/>
    <n v="2"/>
    <n v="41225"/>
    <n v="82450"/>
    <n v="64305.63"/>
    <n v="18144.37"/>
    <n v="0.22006513038204972"/>
  </r>
  <r>
    <x v="474"/>
    <x v="106"/>
    <s v="Jaipur"/>
    <s v="Necklaces"/>
    <s v="Diamond Necklace"/>
    <s v="Diamond"/>
    <s v="Nisha"/>
    <n v="4"/>
    <n v="37752"/>
    <n v="151008"/>
    <n v="114887.53"/>
    <n v="36120.47"/>
    <n v="0.23919573797414706"/>
  </r>
  <r>
    <x v="475"/>
    <x v="32"/>
    <s v="Jaipur"/>
    <s v="Necklaces"/>
    <s v="Diamond Necklace"/>
    <s v="Diamond"/>
    <s v="Arjun"/>
    <n v="1"/>
    <n v="75264"/>
    <n v="75264"/>
    <n v="62608.41"/>
    <n v="12655.59"/>
    <n v="0.16814931441326531"/>
  </r>
  <r>
    <x v="476"/>
    <x v="180"/>
    <s v="Surat"/>
    <s v="Anklets"/>
    <s v="Anklet"/>
    <s v="Silver"/>
    <s v="Meera"/>
    <n v="1"/>
    <n v="65609"/>
    <n v="65609"/>
    <n v="44407.91"/>
    <n v="21201.09"/>
    <n v="0.32314301391577377"/>
  </r>
  <r>
    <x v="477"/>
    <x v="93"/>
    <s v="Jaipur"/>
    <s v="Pendants"/>
    <s v="Pendant"/>
    <s v="Gold"/>
    <s v="Arjun"/>
    <n v="1"/>
    <n v="75522"/>
    <n v="75522"/>
    <n v="50631.360000000001"/>
    <n v="24890.639999999999"/>
    <n v="0.32958131405418289"/>
  </r>
  <r>
    <x v="478"/>
    <x v="186"/>
    <s v="Jaipur"/>
    <s v="Bracelets"/>
    <s v="Bracelet"/>
    <s v="Gold"/>
    <s v="Rohan"/>
    <n v="5"/>
    <n v="70273"/>
    <n v="351365"/>
    <n v="282847.42"/>
    <n v="68517.58"/>
    <n v="0.19500399869082008"/>
  </r>
  <r>
    <x v="479"/>
    <x v="1"/>
    <s v="Ahmedabad"/>
    <s v="Necklaces"/>
    <s v="Gold Necklace"/>
    <s v="Gold"/>
    <s v="Arjun"/>
    <n v="4"/>
    <n v="39051"/>
    <n v="156204"/>
    <n v="103007.86"/>
    <n v="53196.14"/>
    <n v="0.34055555555555556"/>
  </r>
  <r>
    <x v="480"/>
    <x v="195"/>
    <s v="Surat"/>
    <s v="Rings"/>
    <s v="Gold Ring"/>
    <s v="Gold"/>
    <s v="Nisha"/>
    <n v="2"/>
    <n v="68254"/>
    <n v="136508"/>
    <n v="96918.77"/>
    <n v="39589.230000000003"/>
    <n v="0.29001399185395732"/>
  </r>
  <r>
    <x v="481"/>
    <x v="64"/>
    <s v="Delhi"/>
    <s v="Necklaces"/>
    <s v="Gold Necklace"/>
    <s v="Gold"/>
    <s v="Aisha"/>
    <n v="2"/>
    <n v="23035"/>
    <n v="46070"/>
    <n v="38399.39"/>
    <n v="7670.61"/>
    <n v="0.16649902322552637"/>
  </r>
  <r>
    <x v="482"/>
    <x v="260"/>
    <s v="Mumbai"/>
    <s v="Earrings"/>
    <s v="Diamond Earrings"/>
    <s v="Diamond"/>
    <s v="Karan"/>
    <n v="1"/>
    <n v="41504"/>
    <n v="41504"/>
    <n v="27996.29"/>
    <n v="13507.71"/>
    <n v="0.32545561873554352"/>
  </r>
  <r>
    <x v="483"/>
    <x v="261"/>
    <s v="Jaipur"/>
    <s v="Earrings"/>
    <s v="Diamond Earrings"/>
    <s v="Diamond"/>
    <s v="Nisha"/>
    <n v="3"/>
    <n v="72092"/>
    <n v="216276"/>
    <n v="142461.16"/>
    <n v="73814.84"/>
    <n v="0.34129926575301928"/>
  </r>
  <r>
    <x v="484"/>
    <x v="183"/>
    <s v="Ahmedabad"/>
    <s v="Anklets"/>
    <s v="Anklet"/>
    <s v="Silver"/>
    <s v="Aisha"/>
    <n v="5"/>
    <n v="50908"/>
    <n v="254540"/>
    <n v="206331.19"/>
    <n v="48208.81"/>
    <n v="0.18939581205311543"/>
  </r>
  <r>
    <x v="485"/>
    <x v="231"/>
    <s v="Surat"/>
    <s v="Rings"/>
    <s v="Diamond Ring"/>
    <s v="Diamond"/>
    <s v="Nisha"/>
    <n v="3"/>
    <n v="54445"/>
    <n v="163335"/>
    <n v="112477.31"/>
    <n v="50857.69"/>
    <n v="0.31137043499556127"/>
  </r>
  <r>
    <x v="486"/>
    <x v="208"/>
    <s v="Surat"/>
    <s v="Bracelets"/>
    <s v="Bangle"/>
    <s v="Gold"/>
    <s v="Arjun"/>
    <n v="1"/>
    <n v="10746"/>
    <n v="10746"/>
    <n v="8033.81"/>
    <n v="2712.19"/>
    <n v="0.25239065698864693"/>
  </r>
  <r>
    <x v="487"/>
    <x v="182"/>
    <s v="Bangalore"/>
    <s v="Rings"/>
    <s v="Diamond Ring"/>
    <s v="Diamond"/>
    <s v="Karan"/>
    <n v="2"/>
    <n v="46015"/>
    <n v="92030"/>
    <n v="75901.64"/>
    <n v="16128.36"/>
    <n v="0.17525111376724981"/>
  </r>
  <r>
    <x v="488"/>
    <x v="21"/>
    <s v="Bangalore"/>
    <s v="Bracelets"/>
    <s v="Bracelet"/>
    <s v="Gold"/>
    <s v="Rohan"/>
    <n v="3"/>
    <n v="78573"/>
    <n v="235719"/>
    <n v="200232.36"/>
    <n v="35486.639999999999"/>
    <n v="0.150546370890764"/>
  </r>
  <r>
    <x v="489"/>
    <x v="262"/>
    <s v="Delhi"/>
    <s v="Earrings"/>
    <s v="Gold Earrings"/>
    <s v="Gold"/>
    <s v="Aisha"/>
    <n v="3"/>
    <n v="27783"/>
    <n v="83349"/>
    <n v="62297.88"/>
    <n v="21051.119999999999"/>
    <n v="0.25256595759997119"/>
  </r>
  <r>
    <x v="490"/>
    <x v="263"/>
    <s v="Bangalore"/>
    <s v="Bracelets"/>
    <s v="Bangle"/>
    <s v="Gold"/>
    <s v="Aisha"/>
    <n v="1"/>
    <n v="31892"/>
    <n v="31892"/>
    <n v="24687.09"/>
    <n v="7204.91"/>
    <n v="0.2259159036749028"/>
  </r>
  <r>
    <x v="491"/>
    <x v="150"/>
    <s v="Delhi"/>
    <s v="Anklets"/>
    <s v="Anklet"/>
    <s v="Silver"/>
    <s v="Meera"/>
    <n v="4"/>
    <n v="59565"/>
    <n v="238260"/>
    <n v="165791.26999999999"/>
    <n v="72468.73"/>
    <n v="0.30415818853353477"/>
  </r>
  <r>
    <x v="492"/>
    <x v="80"/>
    <s v="Jaipur"/>
    <s v="Anklets"/>
    <s v="Anklet"/>
    <s v="Silver"/>
    <s v="Aisha"/>
    <n v="3"/>
    <n v="77240"/>
    <n v="231720"/>
    <n v="160642.87"/>
    <n v="71077.13"/>
    <n v="0.30673713965130334"/>
  </r>
  <r>
    <x v="493"/>
    <x v="134"/>
    <s v="Jaipur"/>
    <s v="Necklaces"/>
    <s v="Gold Necklace"/>
    <s v="Gold"/>
    <s v="Arjun"/>
    <n v="2"/>
    <n v="30246"/>
    <n v="60492"/>
    <n v="49230.57"/>
    <n v="11261.43"/>
    <n v="0.18616395556437215"/>
  </r>
  <r>
    <x v="494"/>
    <x v="191"/>
    <s v="Ahmedabad"/>
    <s v="Bracelets"/>
    <s v="Bangle"/>
    <s v="Gold"/>
    <s v="Arjun"/>
    <n v="4"/>
    <n v="54357"/>
    <n v="217428"/>
    <n v="154998.32"/>
    <n v="62429.68"/>
    <n v="0.2871280607833398"/>
  </r>
  <r>
    <x v="495"/>
    <x v="199"/>
    <s v="Jaipur"/>
    <s v="Earrings"/>
    <s v="Diamond Earrings"/>
    <s v="Diamond"/>
    <s v="Meera"/>
    <n v="2"/>
    <n v="10688"/>
    <n v="21376"/>
    <n v="14957.81"/>
    <n v="6418.19"/>
    <n v="0.30025215194610777"/>
  </r>
  <r>
    <x v="496"/>
    <x v="264"/>
    <s v="Surat"/>
    <s v="Anklets"/>
    <s v="Anklet"/>
    <s v="Silver"/>
    <s v="Nisha"/>
    <n v="2"/>
    <n v="43738"/>
    <n v="87476"/>
    <n v="63585.1"/>
    <n v="23890.9"/>
    <n v="0.2731137683478897"/>
  </r>
  <r>
    <x v="497"/>
    <x v="183"/>
    <s v="Jaipur"/>
    <s v="Rings"/>
    <s v="Diamond Ring"/>
    <s v="Diamond"/>
    <s v="Karan"/>
    <n v="5"/>
    <n v="77225"/>
    <n v="386125"/>
    <n v="296112.46999999997"/>
    <n v="90012.53"/>
    <n v="0.23311759145354483"/>
  </r>
  <r>
    <x v="498"/>
    <x v="120"/>
    <s v="Pune"/>
    <s v="Necklaces"/>
    <s v="Gold Necklace"/>
    <s v="Gold"/>
    <s v="Aisha"/>
    <n v="1"/>
    <n v="34115"/>
    <n v="34115"/>
    <n v="27457.79"/>
    <n v="6657.21"/>
    <n v="0.19514026088230985"/>
  </r>
  <r>
    <x v="499"/>
    <x v="241"/>
    <s v="Pune"/>
    <s v="Anklets"/>
    <s v="Anklet"/>
    <s v="Silver"/>
    <s v="Aisha"/>
    <n v="3"/>
    <n v="39200"/>
    <n v="117600"/>
    <n v="96968.57"/>
    <n v="20631.43"/>
    <n v="0.17543732993197278"/>
  </r>
  <r>
    <x v="500"/>
    <x v="265"/>
    <m/>
    <m/>
    <m/>
    <m/>
    <m/>
    <m/>
    <m/>
    <n v="61971147"/>
    <n v="46248929.639999971"/>
    <n v="15722217.3599999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000"/>
    <d v="2024-11-29T00:00:00"/>
    <x v="0"/>
    <s v="Earrings"/>
    <s v="Diamond Earrings"/>
    <s v="Diamond"/>
    <s v="Meera"/>
    <n v="1"/>
    <n v="17494"/>
    <n v="17494"/>
    <n v="14244.57"/>
  </r>
  <r>
    <n v="2001"/>
    <d v="2024-01-30T00:00:00"/>
    <x v="1"/>
    <s v="Rings"/>
    <s v="Diamond Ring"/>
    <s v="Diamond"/>
    <s v="Arjun"/>
    <n v="5"/>
    <n v="36140"/>
    <n v="180700"/>
    <n v="118810.09"/>
  </r>
  <r>
    <n v="2002"/>
    <d v="2024-05-03T00:00:00"/>
    <x v="2"/>
    <s v="Bracelets"/>
    <s v="Bracelet"/>
    <s v="Gold"/>
    <s v="Aisha"/>
    <n v="1"/>
    <n v="63642"/>
    <n v="63642"/>
    <n v="42119.68"/>
  </r>
  <r>
    <n v="2003"/>
    <d v="2024-11-18T00:00:00"/>
    <x v="3"/>
    <s v="Anklets"/>
    <s v="Anklet"/>
    <s v="Silver"/>
    <s v="Rohan"/>
    <n v="5"/>
    <n v="16108"/>
    <n v="80540"/>
    <n v="61646.97"/>
  </r>
  <r>
    <n v="2004"/>
    <d v="2024-01-24T00:00:00"/>
    <x v="3"/>
    <s v="Bracelets"/>
    <s v="Bracelet"/>
    <s v="Gold"/>
    <s v="Rohan"/>
    <n v="5"/>
    <n v="25455"/>
    <n v="127275"/>
    <n v="90100.75"/>
  </r>
  <r>
    <n v="2005"/>
    <d v="2024-10-19T00:00:00"/>
    <x v="4"/>
    <s v="Necklaces"/>
    <s v="Gold Necklace"/>
    <s v="Gold"/>
    <s v="Aisha"/>
    <n v="3"/>
    <n v="31688"/>
    <n v="95064"/>
    <n v="63750.98"/>
  </r>
  <r>
    <n v="2006"/>
    <d v="2024-07-09T00:00:00"/>
    <x v="5"/>
    <s v="Anklets"/>
    <s v="Anklet"/>
    <s v="Silver"/>
    <s v="Rohan"/>
    <n v="1"/>
    <n v="79793"/>
    <n v="79793"/>
    <n v="63229.74"/>
  </r>
  <r>
    <n v="2007"/>
    <d v="2024-04-15T00:00:00"/>
    <x v="3"/>
    <s v="Anklets"/>
    <s v="Anklet"/>
    <s v="Silver"/>
    <s v="Arjun"/>
    <n v="4"/>
    <n v="77693"/>
    <n v="310772"/>
    <n v="228578.54"/>
  </r>
  <r>
    <n v="2008"/>
    <d v="2024-08-20T00:00:00"/>
    <x v="2"/>
    <s v="Earrings"/>
    <s v="Diamond Earrings"/>
    <s v="Diamond"/>
    <s v="Arjun"/>
    <n v="3"/>
    <n v="47291"/>
    <n v="141873"/>
    <n v="99266.45"/>
  </r>
  <r>
    <n v="2009"/>
    <d v="2024-02-11T00:00:00"/>
    <x v="5"/>
    <s v="Necklaces"/>
    <s v="Gold Necklace"/>
    <s v="Gold"/>
    <s v="Rohan"/>
    <n v="5"/>
    <n v="47354"/>
    <n v="236770"/>
    <n v="178770.66"/>
  </r>
  <r>
    <n v="2010"/>
    <d v="2024-05-27T00:00:00"/>
    <x v="5"/>
    <s v="Earrings"/>
    <s v="Diamond Earrings"/>
    <s v="Diamond"/>
    <s v="Meera"/>
    <n v="5"/>
    <n v="17594"/>
    <n v="87970"/>
    <n v="59257.75"/>
  </r>
  <r>
    <n v="2011"/>
    <d v="2024-03-18T00:00:00"/>
    <x v="0"/>
    <s v="Bracelets"/>
    <s v="Bracelet"/>
    <s v="Gold"/>
    <s v="Karan"/>
    <n v="4"/>
    <n v="63272"/>
    <n v="253088"/>
    <n v="166491.78"/>
  </r>
  <r>
    <n v="2012"/>
    <d v="2024-10-20T00:00:00"/>
    <x v="6"/>
    <s v="Rings"/>
    <s v="Diamond Ring"/>
    <s v="Diamond"/>
    <s v="Arjun"/>
    <n v="3"/>
    <n v="52580"/>
    <n v="157740"/>
    <n v="124466.18"/>
  </r>
  <r>
    <n v="2013"/>
    <d v="2024-08-21T00:00:00"/>
    <x v="2"/>
    <s v="Anklets"/>
    <s v="Anklet"/>
    <s v="Silver"/>
    <s v="Arjun"/>
    <n v="1"/>
    <n v="20267"/>
    <n v="20267"/>
    <n v="17002.72"/>
  </r>
  <r>
    <n v="2014"/>
    <d v="2024-02-03T00:00:00"/>
    <x v="5"/>
    <s v="Bracelets"/>
    <s v="Bangle"/>
    <s v="Gold"/>
    <s v="Nisha"/>
    <n v="1"/>
    <n v="48580"/>
    <n v="48580"/>
    <n v="37864.5"/>
  </r>
  <r>
    <n v="2015"/>
    <d v="2024-07-16T00:00:00"/>
    <x v="1"/>
    <s v="Bracelets"/>
    <s v="Bangle"/>
    <s v="Gold"/>
    <s v="Nisha"/>
    <n v="3"/>
    <n v="10957"/>
    <n v="32871"/>
    <n v="27550.16"/>
  </r>
  <r>
    <n v="2016"/>
    <d v="2024-02-29T00:00:00"/>
    <x v="0"/>
    <s v="Earrings"/>
    <s v="Diamond Earrings"/>
    <s v="Diamond"/>
    <s v="Arjun"/>
    <n v="4"/>
    <n v="15727"/>
    <n v="62908"/>
    <n v="43635.6"/>
  </r>
  <r>
    <n v="2017"/>
    <d v="2024-05-06T00:00:00"/>
    <x v="0"/>
    <s v="Earrings"/>
    <s v="Gold Earrings"/>
    <s v="Gold"/>
    <s v="Nisha"/>
    <n v="4"/>
    <n v="59242"/>
    <n v="236968"/>
    <n v="197480.42"/>
  </r>
  <r>
    <n v="2018"/>
    <d v="2024-08-17T00:00:00"/>
    <x v="3"/>
    <s v="Bracelets"/>
    <s v="Bangle"/>
    <s v="Gold"/>
    <s v="Rohan"/>
    <n v="4"/>
    <n v="44416"/>
    <n v="177664"/>
    <n v="146870.70000000001"/>
  </r>
  <r>
    <n v="2019"/>
    <d v="2024-05-22T00:00:00"/>
    <x v="6"/>
    <s v="Bracelets"/>
    <s v="Bracelet"/>
    <s v="Gold"/>
    <s v="Arjun"/>
    <n v="4"/>
    <n v="55024"/>
    <n v="220096"/>
    <n v="173115.32"/>
  </r>
  <r>
    <n v="2020"/>
    <d v="2024-02-12T00:00:00"/>
    <x v="0"/>
    <s v="Bracelets"/>
    <s v="Bracelet"/>
    <s v="Gold"/>
    <s v="Rohan"/>
    <n v="2"/>
    <n v="27830"/>
    <n v="55660"/>
    <n v="38761.14"/>
  </r>
  <r>
    <n v="2021"/>
    <d v="2024-10-28T00:00:00"/>
    <x v="3"/>
    <s v="Necklaces"/>
    <s v="Diamond Necklace"/>
    <s v="Diamond"/>
    <s v="Meera"/>
    <n v="2"/>
    <n v="42438"/>
    <n v="84876"/>
    <n v="59955.23"/>
  </r>
  <r>
    <n v="2022"/>
    <d v="2024-07-08T00:00:00"/>
    <x v="2"/>
    <s v="Necklaces"/>
    <s v="Gold Necklace"/>
    <s v="Gold"/>
    <s v="Arjun"/>
    <n v="5"/>
    <n v="49761"/>
    <n v="248805"/>
    <n v="209150.36"/>
  </r>
  <r>
    <n v="2023"/>
    <d v="2024-12-12T00:00:00"/>
    <x v="4"/>
    <s v="Pendants"/>
    <s v="Pendant"/>
    <s v="Gold"/>
    <s v="Nisha"/>
    <n v="1"/>
    <n v="67853"/>
    <n v="67853"/>
    <n v="56311.65"/>
  </r>
  <r>
    <n v="2024"/>
    <d v="2024-07-23T00:00:00"/>
    <x v="2"/>
    <s v="Pendants"/>
    <s v="Pendant"/>
    <s v="Gold"/>
    <s v="Meera"/>
    <n v="4"/>
    <n v="21570"/>
    <n v="86280"/>
    <n v="64391.16"/>
  </r>
  <r>
    <n v="2025"/>
    <d v="2024-02-04T00:00:00"/>
    <x v="3"/>
    <s v="Bracelets"/>
    <s v="Bracelet"/>
    <s v="Gold"/>
    <s v="Rohan"/>
    <n v="2"/>
    <n v="65753"/>
    <n v="131506"/>
    <n v="89747.67"/>
  </r>
  <r>
    <n v="2026"/>
    <d v="2024-02-22T00:00:00"/>
    <x v="4"/>
    <s v="Earrings"/>
    <s v="Diamond Earrings"/>
    <s v="Diamond"/>
    <s v="Aisha"/>
    <n v="1"/>
    <n v="27826"/>
    <n v="27826"/>
    <n v="21073.29"/>
  </r>
  <r>
    <n v="2027"/>
    <d v="2024-02-06T00:00:00"/>
    <x v="4"/>
    <s v="Earrings"/>
    <s v="Diamond Earrings"/>
    <s v="Diamond"/>
    <s v="Aisha"/>
    <n v="2"/>
    <n v="57313"/>
    <n v="114626"/>
    <n v="77912.45"/>
  </r>
  <r>
    <n v="2028"/>
    <d v="2024-07-05T00:00:00"/>
    <x v="1"/>
    <s v="Earrings"/>
    <s v="Gold Earrings"/>
    <s v="Gold"/>
    <s v="Arjun"/>
    <n v="4"/>
    <n v="24101"/>
    <n v="96404"/>
    <n v="64886.71"/>
  </r>
  <r>
    <n v="2029"/>
    <d v="2024-09-04T00:00:00"/>
    <x v="2"/>
    <s v="Bracelets"/>
    <s v="Bangle"/>
    <s v="Gold"/>
    <s v="Meera"/>
    <n v="3"/>
    <n v="19257"/>
    <n v="57771"/>
    <n v="39216.31"/>
  </r>
  <r>
    <n v="2030"/>
    <d v="2024-09-02T00:00:00"/>
    <x v="5"/>
    <s v="Earrings"/>
    <s v="Diamond Earrings"/>
    <s v="Diamond"/>
    <s v="Karan"/>
    <n v="2"/>
    <n v="75676"/>
    <n v="151352"/>
    <n v="99077.92"/>
  </r>
  <r>
    <n v="2031"/>
    <d v="2024-12-19T00:00:00"/>
    <x v="1"/>
    <s v="Pendants"/>
    <s v="Pendant"/>
    <s v="Gold"/>
    <s v="Rohan"/>
    <n v="5"/>
    <n v="11544"/>
    <n v="57720"/>
    <n v="46270"/>
  </r>
  <r>
    <n v="2032"/>
    <d v="2024-12-22T00:00:00"/>
    <x v="5"/>
    <s v="Earrings"/>
    <s v="Gold Earrings"/>
    <s v="Gold"/>
    <s v="Aisha"/>
    <n v="3"/>
    <n v="75947"/>
    <n v="227841"/>
    <n v="164806.5"/>
  </r>
  <r>
    <n v="2033"/>
    <d v="2024-09-29T00:00:00"/>
    <x v="1"/>
    <s v="Necklaces"/>
    <s v="Gold Necklace"/>
    <s v="Gold"/>
    <s v="Rohan"/>
    <n v="5"/>
    <n v="73889"/>
    <n v="369445"/>
    <n v="264497.87"/>
  </r>
  <r>
    <n v="2034"/>
    <d v="2024-05-02T00:00:00"/>
    <x v="4"/>
    <s v="Necklaces"/>
    <s v="Diamond Necklace"/>
    <s v="Diamond"/>
    <s v="Rohan"/>
    <n v="4"/>
    <n v="37719"/>
    <n v="150876"/>
    <n v="104101.97"/>
  </r>
  <r>
    <n v="2035"/>
    <d v="2024-01-15T00:00:00"/>
    <x v="1"/>
    <s v="Bracelets"/>
    <s v="Bangle"/>
    <s v="Gold"/>
    <s v="Nisha"/>
    <n v="1"/>
    <n v="44623"/>
    <n v="44623"/>
    <n v="33219.5"/>
  </r>
  <r>
    <n v="2036"/>
    <d v="2024-06-25T00:00:00"/>
    <x v="5"/>
    <s v="Necklaces"/>
    <s v="Diamond Necklace"/>
    <s v="Diamond"/>
    <s v="Arjun"/>
    <n v="4"/>
    <n v="53812"/>
    <n v="215248"/>
    <n v="181023.6"/>
  </r>
  <r>
    <n v="2037"/>
    <d v="2024-02-22T00:00:00"/>
    <x v="3"/>
    <s v="Earrings"/>
    <s v="Diamond Earrings"/>
    <s v="Diamond"/>
    <s v="Rohan"/>
    <n v="2"/>
    <n v="69614"/>
    <n v="139228"/>
    <n v="95975.6"/>
  </r>
  <r>
    <n v="2038"/>
    <d v="2024-11-08T00:00:00"/>
    <x v="2"/>
    <s v="Necklaces"/>
    <s v="Diamond Necklace"/>
    <s v="Diamond"/>
    <s v="Arjun"/>
    <n v="1"/>
    <n v="70845"/>
    <n v="70845"/>
    <n v="58931.69"/>
  </r>
  <r>
    <n v="2039"/>
    <d v="2024-02-13T00:00:00"/>
    <x v="6"/>
    <s v="Earrings"/>
    <s v="Diamond Earrings"/>
    <s v="Diamond"/>
    <s v="Nisha"/>
    <n v="1"/>
    <n v="58926"/>
    <n v="58926"/>
    <n v="47521.5"/>
  </r>
  <r>
    <n v="2040"/>
    <d v="2024-08-10T00:00:00"/>
    <x v="2"/>
    <s v="Necklaces"/>
    <s v="Diamond Necklace"/>
    <s v="Diamond"/>
    <s v="Rohan"/>
    <n v="3"/>
    <n v="19370"/>
    <n v="58110"/>
    <n v="47078.67"/>
  </r>
  <r>
    <n v="2041"/>
    <d v="2024-02-13T00:00:00"/>
    <x v="2"/>
    <s v="Bracelets"/>
    <s v="Bracelet"/>
    <s v="Gold"/>
    <s v="Meera"/>
    <n v="2"/>
    <n v="30282"/>
    <n v="60564"/>
    <n v="51395.97"/>
  </r>
  <r>
    <n v="2042"/>
    <d v="2024-08-26T00:00:00"/>
    <x v="0"/>
    <s v="Rings"/>
    <s v="Gold Ring"/>
    <s v="Gold"/>
    <s v="Arjun"/>
    <n v="2"/>
    <n v="70174"/>
    <n v="140348"/>
    <n v="109675.46"/>
  </r>
  <r>
    <n v="2043"/>
    <d v="2024-10-07T00:00:00"/>
    <x v="0"/>
    <s v="Earrings"/>
    <s v="Diamond Earrings"/>
    <s v="Diamond"/>
    <s v="Arjun"/>
    <n v="2"/>
    <n v="10804"/>
    <n v="21608"/>
    <n v="14106.75"/>
  </r>
  <r>
    <n v="2044"/>
    <d v="2024-03-12T00:00:00"/>
    <x v="4"/>
    <s v="Rings"/>
    <s v="Diamond Ring"/>
    <s v="Diamond"/>
    <s v="Nisha"/>
    <n v="4"/>
    <n v="33533"/>
    <n v="134132"/>
    <n v="109348.57"/>
  </r>
  <r>
    <n v="2045"/>
    <d v="2024-04-18T00:00:00"/>
    <x v="3"/>
    <s v="Necklaces"/>
    <s v="Diamond Necklace"/>
    <s v="Diamond"/>
    <s v="Karan"/>
    <n v="3"/>
    <n v="73688"/>
    <n v="221064"/>
    <n v="154326.51999999999"/>
  </r>
  <r>
    <n v="2046"/>
    <d v="2024-10-05T00:00:00"/>
    <x v="1"/>
    <s v="Anklets"/>
    <s v="Anklet"/>
    <s v="Silver"/>
    <s v="Karan"/>
    <n v="4"/>
    <n v="25180"/>
    <n v="100720"/>
    <n v="66694.86"/>
  </r>
  <r>
    <n v="2047"/>
    <d v="2024-10-25T00:00:00"/>
    <x v="2"/>
    <s v="Earrings"/>
    <s v="Diamond Earrings"/>
    <s v="Diamond"/>
    <s v="Nisha"/>
    <n v="5"/>
    <n v="63132"/>
    <n v="315660"/>
    <n v="257397.98"/>
  </r>
  <r>
    <n v="2048"/>
    <d v="2024-03-18T00:00:00"/>
    <x v="0"/>
    <s v="Pendants"/>
    <s v="Pendant"/>
    <s v="Gold"/>
    <s v="Arjun"/>
    <n v="5"/>
    <n v="74918"/>
    <n v="374590"/>
    <n v="244884.83"/>
  </r>
  <r>
    <n v="2049"/>
    <d v="2024-11-07T00:00:00"/>
    <x v="6"/>
    <s v="Bracelets"/>
    <s v="Bangle"/>
    <s v="Gold"/>
    <s v="Rohan"/>
    <n v="1"/>
    <n v="27634"/>
    <n v="27634"/>
    <n v="18914.63"/>
  </r>
  <r>
    <n v="2050"/>
    <d v="2024-03-02T00:00:00"/>
    <x v="4"/>
    <s v="Bracelets"/>
    <s v="Bangle"/>
    <s v="Gold"/>
    <s v="Nisha"/>
    <n v="5"/>
    <n v="16094"/>
    <n v="80470"/>
    <n v="57551.86"/>
  </r>
  <r>
    <n v="2051"/>
    <d v="2024-09-04T00:00:00"/>
    <x v="4"/>
    <s v="Pendants"/>
    <s v="Pendant"/>
    <s v="Gold"/>
    <s v="Arjun"/>
    <n v="1"/>
    <n v="15447"/>
    <n v="15447"/>
    <n v="10808.25"/>
  </r>
  <r>
    <n v="2052"/>
    <d v="2024-09-16T00:00:00"/>
    <x v="3"/>
    <s v="Earrings"/>
    <s v="Gold Earrings"/>
    <s v="Gold"/>
    <s v="Aisha"/>
    <n v="4"/>
    <n v="11652"/>
    <n v="46608"/>
    <n v="37379.550000000003"/>
  </r>
  <r>
    <n v="2053"/>
    <d v="2024-11-09T00:00:00"/>
    <x v="2"/>
    <s v="Rings"/>
    <s v="Diamond Ring"/>
    <s v="Diamond"/>
    <s v="Karan"/>
    <n v="5"/>
    <n v="75130"/>
    <n v="375650"/>
    <n v="259153.66"/>
  </r>
  <r>
    <n v="2054"/>
    <d v="2024-09-30T00:00:00"/>
    <x v="2"/>
    <s v="Earrings"/>
    <s v="Gold Earrings"/>
    <s v="Gold"/>
    <s v="Arjun"/>
    <n v="4"/>
    <n v="74552"/>
    <n v="298208"/>
    <n v="249987.83"/>
  </r>
  <r>
    <n v="2055"/>
    <d v="2024-04-13T00:00:00"/>
    <x v="1"/>
    <s v="Pendants"/>
    <s v="Pendant"/>
    <s v="Gold"/>
    <s v="Arjun"/>
    <n v="4"/>
    <n v="25974"/>
    <n v="103896"/>
    <n v="76189.78"/>
  </r>
  <r>
    <n v="2056"/>
    <d v="2024-02-07T00:00:00"/>
    <x v="2"/>
    <s v="Bracelets"/>
    <s v="Bracelet"/>
    <s v="Gold"/>
    <s v="Karan"/>
    <n v="2"/>
    <n v="64143"/>
    <n v="128286"/>
    <n v="85261.97"/>
  </r>
  <r>
    <n v="2057"/>
    <d v="2024-03-20T00:00:00"/>
    <x v="6"/>
    <s v="Earrings"/>
    <s v="Gold Earrings"/>
    <s v="Gold"/>
    <s v="Aisha"/>
    <n v="3"/>
    <n v="26740"/>
    <n v="80220"/>
    <n v="56203.86"/>
  </r>
  <r>
    <n v="2058"/>
    <d v="2024-02-18T00:00:00"/>
    <x v="2"/>
    <s v="Necklaces"/>
    <s v="Gold Necklace"/>
    <s v="Gold"/>
    <s v="Rohan"/>
    <n v="4"/>
    <n v="71866"/>
    <n v="287464"/>
    <n v="196211.15"/>
  </r>
  <r>
    <n v="2059"/>
    <d v="2024-08-08T00:00:00"/>
    <x v="0"/>
    <s v="Necklaces"/>
    <s v="Diamond Necklace"/>
    <s v="Diamond"/>
    <s v="Nisha"/>
    <n v="5"/>
    <n v="60928"/>
    <n v="304640"/>
    <n v="218677.67"/>
  </r>
  <r>
    <n v="2060"/>
    <d v="2024-02-17T00:00:00"/>
    <x v="1"/>
    <s v="Necklaces"/>
    <s v="Diamond Necklace"/>
    <s v="Diamond"/>
    <s v="Karan"/>
    <n v="3"/>
    <n v="10553"/>
    <n v="31659"/>
    <n v="22718.37"/>
  </r>
  <r>
    <n v="2061"/>
    <d v="2024-01-10T00:00:00"/>
    <x v="2"/>
    <s v="Bracelets"/>
    <s v="Bangle"/>
    <s v="Gold"/>
    <s v="Nisha"/>
    <n v="4"/>
    <n v="51450"/>
    <n v="205800"/>
    <n v="155067.57999999999"/>
  </r>
  <r>
    <n v="2062"/>
    <d v="2024-02-27T00:00:00"/>
    <x v="4"/>
    <s v="Earrings"/>
    <s v="Gold Earrings"/>
    <s v="Gold"/>
    <s v="Aisha"/>
    <n v="2"/>
    <n v="21733"/>
    <n v="43466"/>
    <n v="28983.66"/>
  </r>
  <r>
    <n v="2063"/>
    <d v="2024-05-18T00:00:00"/>
    <x v="3"/>
    <s v="Earrings"/>
    <s v="Gold Earrings"/>
    <s v="Gold"/>
    <s v="Rohan"/>
    <n v="2"/>
    <n v="63345"/>
    <n v="126690"/>
    <n v="103875.36"/>
  </r>
  <r>
    <n v="2064"/>
    <d v="2024-10-01T00:00:00"/>
    <x v="2"/>
    <s v="Earrings"/>
    <s v="Gold Earrings"/>
    <s v="Gold"/>
    <s v="Rohan"/>
    <n v="5"/>
    <n v="72829"/>
    <n v="364145"/>
    <n v="287704.95"/>
  </r>
  <r>
    <n v="2065"/>
    <d v="2024-12-18T00:00:00"/>
    <x v="1"/>
    <s v="Rings"/>
    <s v="Diamond Ring"/>
    <s v="Diamond"/>
    <s v="Aisha"/>
    <n v="2"/>
    <n v="63747"/>
    <n v="127494"/>
    <n v="105699.8"/>
  </r>
  <r>
    <n v="2066"/>
    <d v="2024-02-15T00:00:00"/>
    <x v="3"/>
    <s v="Earrings"/>
    <s v="Gold Earrings"/>
    <s v="Gold"/>
    <s v="Nisha"/>
    <n v="3"/>
    <n v="18976"/>
    <n v="56928"/>
    <n v="43927.66"/>
  </r>
  <r>
    <n v="2067"/>
    <d v="2024-03-03T00:00:00"/>
    <x v="3"/>
    <s v="Necklaces"/>
    <s v="Diamond Necklace"/>
    <s v="Diamond"/>
    <s v="Karan"/>
    <n v="4"/>
    <n v="9513"/>
    <n v="38052"/>
    <n v="27314.880000000001"/>
  </r>
  <r>
    <n v="2068"/>
    <d v="2024-11-14T00:00:00"/>
    <x v="2"/>
    <s v="Pendants"/>
    <s v="Pendant"/>
    <s v="Gold"/>
    <s v="Karan"/>
    <n v="2"/>
    <n v="13663"/>
    <n v="27326"/>
    <n v="20641.599999999999"/>
  </r>
  <r>
    <n v="2069"/>
    <d v="2024-05-14T00:00:00"/>
    <x v="3"/>
    <s v="Necklaces"/>
    <s v="Diamond Necklace"/>
    <s v="Diamond"/>
    <s v="Rohan"/>
    <n v="1"/>
    <n v="31743"/>
    <n v="31743"/>
    <n v="21913.9"/>
  </r>
  <r>
    <n v="2070"/>
    <d v="2024-09-28T00:00:00"/>
    <x v="5"/>
    <s v="Earrings"/>
    <s v="Gold Earrings"/>
    <s v="Gold"/>
    <s v="Karan"/>
    <n v="2"/>
    <n v="46005"/>
    <n v="92010"/>
    <n v="68008.03"/>
  </r>
  <r>
    <n v="2071"/>
    <d v="2024-01-10T00:00:00"/>
    <x v="1"/>
    <s v="Necklaces"/>
    <s v="Gold Necklace"/>
    <s v="Gold"/>
    <s v="Karan"/>
    <n v="3"/>
    <n v="12843"/>
    <n v="38529"/>
    <n v="25162.1"/>
  </r>
  <r>
    <n v="2072"/>
    <d v="2024-09-20T00:00:00"/>
    <x v="4"/>
    <s v="Pendants"/>
    <s v="Pendant"/>
    <s v="Gold"/>
    <s v="Rohan"/>
    <n v="4"/>
    <n v="40201"/>
    <n v="160804"/>
    <n v="134581.46"/>
  </r>
  <r>
    <n v="2073"/>
    <d v="2024-08-09T00:00:00"/>
    <x v="5"/>
    <s v="Rings"/>
    <s v="Diamond Ring"/>
    <s v="Diamond"/>
    <s v="Nisha"/>
    <n v="4"/>
    <n v="79553"/>
    <n v="318212"/>
    <n v="259954.63"/>
  </r>
  <r>
    <n v="2074"/>
    <d v="2024-12-18T00:00:00"/>
    <x v="4"/>
    <s v="Bracelets"/>
    <s v="Bracelet"/>
    <s v="Gold"/>
    <s v="Karan"/>
    <n v="2"/>
    <n v="38089"/>
    <n v="76178"/>
    <n v="54737.01"/>
  </r>
  <r>
    <n v="2075"/>
    <d v="2024-01-28T00:00:00"/>
    <x v="2"/>
    <s v="Necklaces"/>
    <s v="Gold Necklace"/>
    <s v="Gold"/>
    <s v="Karan"/>
    <n v="2"/>
    <n v="9868"/>
    <n v="19736"/>
    <n v="13107.56"/>
  </r>
  <r>
    <n v="2076"/>
    <d v="2024-01-29T00:00:00"/>
    <x v="2"/>
    <s v="Earrings"/>
    <s v="Gold Earrings"/>
    <s v="Gold"/>
    <s v="Rohan"/>
    <n v="1"/>
    <n v="57922"/>
    <n v="57922"/>
    <n v="47733.96"/>
  </r>
  <r>
    <n v="2077"/>
    <d v="2024-12-20T00:00:00"/>
    <x v="4"/>
    <s v="Earrings"/>
    <s v="Gold Earrings"/>
    <s v="Gold"/>
    <s v="Rohan"/>
    <n v="3"/>
    <n v="13929"/>
    <n v="41787"/>
    <n v="31001.38"/>
  </r>
  <r>
    <n v="2078"/>
    <d v="2024-01-02T00:00:00"/>
    <x v="1"/>
    <s v="Necklaces"/>
    <s v="Gold Necklace"/>
    <s v="Gold"/>
    <s v="Meera"/>
    <n v="3"/>
    <n v="55728"/>
    <n v="167184"/>
    <n v="140828.66"/>
  </r>
  <r>
    <n v="2079"/>
    <d v="2024-01-18T00:00:00"/>
    <x v="1"/>
    <s v="Pendants"/>
    <s v="Pendant"/>
    <s v="Gold"/>
    <s v="Rohan"/>
    <n v="3"/>
    <n v="36556"/>
    <n v="109668"/>
    <n v="79105.37"/>
  </r>
  <r>
    <n v="2080"/>
    <d v="2024-02-12T00:00:00"/>
    <x v="1"/>
    <s v="Rings"/>
    <s v="Gold Ring"/>
    <s v="Gold"/>
    <s v="Meera"/>
    <n v="4"/>
    <n v="44559"/>
    <n v="178236"/>
    <n v="133775.53"/>
  </r>
  <r>
    <n v="2081"/>
    <d v="2024-01-03T00:00:00"/>
    <x v="0"/>
    <s v="Necklaces"/>
    <s v="Diamond Necklace"/>
    <s v="Diamond"/>
    <s v="Arjun"/>
    <n v="1"/>
    <n v="42625"/>
    <n v="42625"/>
    <n v="34671.550000000003"/>
  </r>
  <r>
    <n v="2082"/>
    <d v="2024-01-22T00:00:00"/>
    <x v="2"/>
    <s v="Necklaces"/>
    <s v="Gold Necklace"/>
    <s v="Gold"/>
    <s v="Arjun"/>
    <n v="4"/>
    <n v="10948"/>
    <n v="43792"/>
    <n v="31089.22"/>
  </r>
  <r>
    <n v="2083"/>
    <d v="2024-09-27T00:00:00"/>
    <x v="3"/>
    <s v="Necklaces"/>
    <s v="Diamond Necklace"/>
    <s v="Diamond"/>
    <s v="Arjun"/>
    <n v="2"/>
    <n v="59054"/>
    <n v="118108"/>
    <n v="94824.46"/>
  </r>
  <r>
    <n v="2084"/>
    <d v="2024-11-12T00:00:00"/>
    <x v="0"/>
    <s v="Bracelets"/>
    <s v="Bangle"/>
    <s v="Gold"/>
    <s v="Karan"/>
    <n v="2"/>
    <n v="13739"/>
    <n v="27478"/>
    <n v="22393.78"/>
  </r>
  <r>
    <n v="2085"/>
    <d v="2024-12-24T00:00:00"/>
    <x v="5"/>
    <s v="Pendants"/>
    <s v="Pendant"/>
    <s v="Gold"/>
    <s v="Meera"/>
    <n v="5"/>
    <n v="26259"/>
    <n v="131295"/>
    <n v="109234.49"/>
  </r>
  <r>
    <n v="2086"/>
    <d v="2024-12-17T00:00:00"/>
    <x v="4"/>
    <s v="Pendants"/>
    <s v="Pendant"/>
    <s v="Gold"/>
    <s v="Aisha"/>
    <n v="5"/>
    <n v="38138"/>
    <n v="190690"/>
    <n v="127193.73"/>
  </r>
  <r>
    <n v="2087"/>
    <d v="2024-07-03T00:00:00"/>
    <x v="0"/>
    <s v="Rings"/>
    <s v="Gold Ring"/>
    <s v="Gold"/>
    <s v="Nisha"/>
    <n v="1"/>
    <n v="57364"/>
    <n v="57364"/>
    <n v="46875.81"/>
  </r>
  <r>
    <n v="2088"/>
    <d v="2024-01-10T00:00:00"/>
    <x v="3"/>
    <s v="Pendants"/>
    <s v="Pendant"/>
    <s v="Gold"/>
    <s v="Nisha"/>
    <n v="5"/>
    <n v="40054"/>
    <n v="200270"/>
    <n v="149773.69"/>
  </r>
  <r>
    <n v="2089"/>
    <d v="2024-09-14T00:00:00"/>
    <x v="2"/>
    <s v="Rings"/>
    <s v="Gold Ring"/>
    <s v="Gold"/>
    <s v="Aisha"/>
    <n v="5"/>
    <n v="20051"/>
    <n v="100255"/>
    <n v="78385.36"/>
  </r>
  <r>
    <n v="2090"/>
    <d v="2024-08-30T00:00:00"/>
    <x v="5"/>
    <s v="Rings"/>
    <s v="Diamond Ring"/>
    <s v="Diamond"/>
    <s v="Nisha"/>
    <n v="3"/>
    <n v="17758"/>
    <n v="53274"/>
    <n v="43643.48"/>
  </r>
  <r>
    <n v="2091"/>
    <d v="2024-04-28T00:00:00"/>
    <x v="5"/>
    <s v="Necklaces"/>
    <s v="Diamond Necklace"/>
    <s v="Diamond"/>
    <s v="Rohan"/>
    <n v="4"/>
    <n v="72742"/>
    <n v="290968"/>
    <n v="238333.71"/>
  </r>
  <r>
    <n v="2092"/>
    <d v="2024-05-27T00:00:00"/>
    <x v="2"/>
    <s v="Rings"/>
    <s v="Diamond Ring"/>
    <s v="Diamond"/>
    <s v="Nisha"/>
    <n v="1"/>
    <n v="33990"/>
    <n v="33990"/>
    <n v="22620.15"/>
  </r>
  <r>
    <n v="2093"/>
    <d v="2024-11-29T00:00:00"/>
    <x v="1"/>
    <s v="Necklaces"/>
    <s v="Gold Necklace"/>
    <s v="Gold"/>
    <s v="Karan"/>
    <n v="3"/>
    <n v="25490"/>
    <n v="76470"/>
    <n v="49896.2"/>
  </r>
  <r>
    <n v="2094"/>
    <d v="2024-12-10T00:00:00"/>
    <x v="2"/>
    <s v="Rings"/>
    <s v="Gold Ring"/>
    <s v="Gold"/>
    <s v="Karan"/>
    <n v="1"/>
    <n v="36533"/>
    <n v="36533"/>
    <n v="28683.58"/>
  </r>
  <r>
    <n v="2095"/>
    <d v="2024-05-26T00:00:00"/>
    <x v="5"/>
    <s v="Earrings"/>
    <s v="Gold Earrings"/>
    <s v="Gold"/>
    <s v="Arjun"/>
    <n v="4"/>
    <n v="69066"/>
    <n v="276264"/>
    <n v="205338.14"/>
  </r>
  <r>
    <n v="2096"/>
    <d v="2024-06-08T00:00:00"/>
    <x v="4"/>
    <s v="Rings"/>
    <s v="Diamond Ring"/>
    <s v="Diamond"/>
    <s v="Rohan"/>
    <n v="1"/>
    <n v="69989"/>
    <n v="69989"/>
    <n v="45737.87"/>
  </r>
  <r>
    <n v="2097"/>
    <d v="2024-08-18T00:00:00"/>
    <x v="3"/>
    <s v="Bracelets"/>
    <s v="Bangle"/>
    <s v="Gold"/>
    <s v="Arjun"/>
    <n v="3"/>
    <n v="58704"/>
    <n v="176112"/>
    <n v="121863.77"/>
  </r>
  <r>
    <n v="2098"/>
    <d v="2024-02-16T00:00:00"/>
    <x v="3"/>
    <s v="Necklaces"/>
    <s v="Diamond Necklace"/>
    <s v="Diamond"/>
    <s v="Arjun"/>
    <n v="2"/>
    <n v="76690"/>
    <n v="153380"/>
    <n v="107728.25"/>
  </r>
  <r>
    <n v="2099"/>
    <d v="2024-11-19T00:00:00"/>
    <x v="0"/>
    <s v="Earrings"/>
    <s v="Diamond Earrings"/>
    <s v="Diamond"/>
    <s v="Arjun"/>
    <n v="5"/>
    <n v="44643"/>
    <n v="223215"/>
    <n v="184681.94"/>
  </r>
  <r>
    <n v="2100"/>
    <d v="2024-09-05T00:00:00"/>
    <x v="0"/>
    <s v="Earrings"/>
    <s v="Diamond Earrings"/>
    <s v="Diamond"/>
    <s v="Meera"/>
    <n v="4"/>
    <n v="11255"/>
    <n v="45020"/>
    <n v="30695.22"/>
  </r>
  <r>
    <n v="2101"/>
    <d v="2024-07-26T00:00:00"/>
    <x v="5"/>
    <s v="Bracelets"/>
    <s v="Bangle"/>
    <s v="Gold"/>
    <s v="Meera"/>
    <n v="3"/>
    <n v="26442"/>
    <n v="79326"/>
    <n v="58164.7"/>
  </r>
  <r>
    <n v="2102"/>
    <d v="2024-06-18T00:00:00"/>
    <x v="1"/>
    <s v="Bracelets"/>
    <s v="Bracelet"/>
    <s v="Gold"/>
    <s v="Aisha"/>
    <n v="1"/>
    <n v="50539"/>
    <n v="50539"/>
    <n v="40438.620000000003"/>
  </r>
  <r>
    <n v="2103"/>
    <d v="2024-12-31T00:00:00"/>
    <x v="3"/>
    <s v="Bracelets"/>
    <s v="Bracelet"/>
    <s v="Gold"/>
    <s v="Rohan"/>
    <n v="1"/>
    <n v="45988"/>
    <n v="45988"/>
    <n v="32221.14"/>
  </r>
  <r>
    <n v="2104"/>
    <d v="2024-10-28T00:00:00"/>
    <x v="2"/>
    <s v="Rings"/>
    <s v="Diamond Ring"/>
    <s v="Diamond"/>
    <s v="Meera"/>
    <n v="1"/>
    <n v="55278"/>
    <n v="55278"/>
    <n v="46161.72"/>
  </r>
  <r>
    <n v="2105"/>
    <d v="2024-05-23T00:00:00"/>
    <x v="6"/>
    <s v="Earrings"/>
    <s v="Gold Earrings"/>
    <s v="Gold"/>
    <s v="Aisha"/>
    <n v="1"/>
    <n v="14765"/>
    <n v="14765"/>
    <n v="12062.05"/>
  </r>
  <r>
    <n v="2106"/>
    <d v="2024-05-07T00:00:00"/>
    <x v="5"/>
    <s v="Earrings"/>
    <s v="Gold Earrings"/>
    <s v="Gold"/>
    <s v="Rohan"/>
    <n v="3"/>
    <n v="65178"/>
    <n v="195534"/>
    <n v="147079.23000000001"/>
  </r>
  <r>
    <n v="2107"/>
    <d v="2024-08-07T00:00:00"/>
    <x v="6"/>
    <s v="Necklaces"/>
    <s v="Diamond Necklace"/>
    <s v="Diamond"/>
    <s v="Karan"/>
    <n v="1"/>
    <n v="60434"/>
    <n v="60434"/>
    <n v="50322.47"/>
  </r>
  <r>
    <n v="2108"/>
    <d v="2024-02-11T00:00:00"/>
    <x v="4"/>
    <s v="Pendants"/>
    <s v="Pendant"/>
    <s v="Gold"/>
    <s v="Rohan"/>
    <n v="1"/>
    <n v="61855"/>
    <n v="61855"/>
    <n v="45783.34"/>
  </r>
  <r>
    <n v="2109"/>
    <d v="2024-09-05T00:00:00"/>
    <x v="5"/>
    <s v="Necklaces"/>
    <s v="Gold Necklace"/>
    <s v="Gold"/>
    <s v="Karan"/>
    <n v="1"/>
    <n v="24686"/>
    <n v="24686"/>
    <n v="16888.990000000002"/>
  </r>
  <r>
    <n v="2110"/>
    <d v="2024-06-01T00:00:00"/>
    <x v="1"/>
    <s v="Bracelets"/>
    <s v="Bracelet"/>
    <s v="Gold"/>
    <s v="Karan"/>
    <n v="3"/>
    <n v="42100"/>
    <n v="126300"/>
    <n v="92355.85"/>
  </r>
  <r>
    <n v="2111"/>
    <d v="2024-10-12T00:00:00"/>
    <x v="1"/>
    <s v="Necklaces"/>
    <s v="Diamond Necklace"/>
    <s v="Diamond"/>
    <s v="Meera"/>
    <n v="4"/>
    <n v="23694"/>
    <n v="94776"/>
    <n v="64776.22"/>
  </r>
  <r>
    <n v="2112"/>
    <d v="2024-09-13T00:00:00"/>
    <x v="3"/>
    <s v="Necklaces"/>
    <s v="Gold Necklace"/>
    <s v="Gold"/>
    <s v="Rohan"/>
    <n v="4"/>
    <n v="36839"/>
    <n v="147356"/>
    <n v="109131.44"/>
  </r>
  <r>
    <n v="2113"/>
    <d v="2024-08-06T00:00:00"/>
    <x v="6"/>
    <s v="Earrings"/>
    <s v="Diamond Earrings"/>
    <s v="Diamond"/>
    <s v="Meera"/>
    <n v="2"/>
    <n v="79799"/>
    <n v="159598"/>
    <n v="109880.26"/>
  </r>
  <r>
    <n v="2114"/>
    <d v="2024-10-11T00:00:00"/>
    <x v="0"/>
    <s v="Rings"/>
    <s v="Diamond Ring"/>
    <s v="Diamond"/>
    <s v="Karan"/>
    <n v="1"/>
    <n v="49849"/>
    <n v="49849"/>
    <n v="34785.89"/>
  </r>
  <r>
    <n v="2115"/>
    <d v="2024-04-13T00:00:00"/>
    <x v="6"/>
    <s v="Earrings"/>
    <s v="Gold Earrings"/>
    <s v="Gold"/>
    <s v="Arjun"/>
    <n v="1"/>
    <n v="62104"/>
    <n v="62104"/>
    <n v="45122.75"/>
  </r>
  <r>
    <n v="2116"/>
    <d v="2024-05-18T00:00:00"/>
    <x v="0"/>
    <s v="Pendants"/>
    <s v="Pendant"/>
    <s v="Gold"/>
    <s v="Meera"/>
    <n v="3"/>
    <n v="16134"/>
    <n v="48402"/>
    <n v="36283.550000000003"/>
  </r>
  <r>
    <n v="2117"/>
    <d v="2024-12-17T00:00:00"/>
    <x v="1"/>
    <s v="Anklets"/>
    <s v="Anklet"/>
    <s v="Silver"/>
    <s v="Rohan"/>
    <n v="5"/>
    <n v="77366"/>
    <n v="386830"/>
    <n v="300151.21999999997"/>
  </r>
  <r>
    <n v="2118"/>
    <d v="2024-05-07T00:00:00"/>
    <x v="3"/>
    <s v="Necklaces"/>
    <s v="Diamond Necklace"/>
    <s v="Diamond"/>
    <s v="Karan"/>
    <n v="4"/>
    <n v="60396"/>
    <n v="241584"/>
    <n v="188232.19"/>
  </r>
  <r>
    <n v="2119"/>
    <d v="2024-03-06T00:00:00"/>
    <x v="1"/>
    <s v="Bracelets"/>
    <s v="Bracelet"/>
    <s v="Gold"/>
    <s v="Aisha"/>
    <n v="1"/>
    <n v="63731"/>
    <n v="63731"/>
    <n v="50468.73"/>
  </r>
  <r>
    <n v="2120"/>
    <d v="2024-01-01T00:00:00"/>
    <x v="4"/>
    <s v="Bracelets"/>
    <s v="Bangle"/>
    <s v="Gold"/>
    <s v="Meera"/>
    <n v="1"/>
    <n v="59317"/>
    <n v="59317"/>
    <n v="49591.839999999997"/>
  </r>
  <r>
    <n v="2121"/>
    <d v="2024-08-17T00:00:00"/>
    <x v="6"/>
    <s v="Pendants"/>
    <s v="Pendant"/>
    <s v="Gold"/>
    <s v="Meera"/>
    <n v="2"/>
    <n v="22292"/>
    <n v="44584"/>
    <n v="30975.18"/>
  </r>
  <r>
    <n v="2122"/>
    <d v="2024-02-25T00:00:00"/>
    <x v="4"/>
    <s v="Necklaces"/>
    <s v="Gold Necklace"/>
    <s v="Gold"/>
    <s v="Nisha"/>
    <n v="4"/>
    <n v="19141"/>
    <n v="76564"/>
    <n v="58211.62"/>
  </r>
  <r>
    <n v="2123"/>
    <d v="2024-04-29T00:00:00"/>
    <x v="3"/>
    <s v="Rings"/>
    <s v="Gold Ring"/>
    <s v="Gold"/>
    <s v="Rohan"/>
    <n v="5"/>
    <n v="12927"/>
    <n v="64635"/>
    <n v="50357.2"/>
  </r>
  <r>
    <n v="2124"/>
    <d v="2024-05-08T00:00:00"/>
    <x v="0"/>
    <s v="Earrings"/>
    <s v="Gold Earrings"/>
    <s v="Gold"/>
    <s v="Nisha"/>
    <n v="5"/>
    <n v="65334"/>
    <n v="326670"/>
    <n v="257976.65"/>
  </r>
  <r>
    <n v="2125"/>
    <d v="2024-06-02T00:00:00"/>
    <x v="3"/>
    <s v="Rings"/>
    <s v="Diamond Ring"/>
    <s v="Diamond"/>
    <s v="Aisha"/>
    <n v="5"/>
    <n v="33126"/>
    <n v="165630"/>
    <n v="120515.1"/>
  </r>
  <r>
    <n v="2126"/>
    <d v="2024-01-01T00:00:00"/>
    <x v="6"/>
    <s v="Necklaces"/>
    <s v="Diamond Necklace"/>
    <s v="Diamond"/>
    <s v="Arjun"/>
    <n v="1"/>
    <n v="78448"/>
    <n v="78448"/>
    <n v="55721.95"/>
  </r>
  <r>
    <n v="2127"/>
    <d v="2024-11-26T00:00:00"/>
    <x v="1"/>
    <s v="Bracelets"/>
    <s v="Bangle"/>
    <s v="Gold"/>
    <s v="Karan"/>
    <n v="2"/>
    <n v="70299"/>
    <n v="140598"/>
    <n v="106187.42"/>
  </r>
  <r>
    <n v="2128"/>
    <d v="2024-07-29T00:00:00"/>
    <x v="0"/>
    <s v="Pendants"/>
    <s v="Pendant"/>
    <s v="Gold"/>
    <s v="Aisha"/>
    <n v="3"/>
    <n v="15249"/>
    <n v="45747"/>
    <n v="29934.89"/>
  </r>
  <r>
    <n v="2129"/>
    <d v="2024-08-03T00:00:00"/>
    <x v="5"/>
    <s v="Bracelets"/>
    <s v="Bangle"/>
    <s v="Gold"/>
    <s v="Nisha"/>
    <n v="1"/>
    <n v="41719"/>
    <n v="41719"/>
    <n v="29018.41"/>
  </r>
  <r>
    <n v="2130"/>
    <d v="2024-09-09T00:00:00"/>
    <x v="1"/>
    <s v="Bracelets"/>
    <s v="Bracelet"/>
    <s v="Gold"/>
    <s v="Rohan"/>
    <n v="1"/>
    <n v="52309"/>
    <n v="52309"/>
    <n v="41515.9"/>
  </r>
  <r>
    <n v="2131"/>
    <d v="2024-04-11T00:00:00"/>
    <x v="5"/>
    <s v="Earrings"/>
    <s v="Diamond Earrings"/>
    <s v="Diamond"/>
    <s v="Meera"/>
    <n v="1"/>
    <n v="46287"/>
    <n v="46287"/>
    <n v="36928.959999999999"/>
  </r>
  <r>
    <n v="2132"/>
    <d v="2024-09-10T00:00:00"/>
    <x v="3"/>
    <s v="Pendants"/>
    <s v="Pendant"/>
    <s v="Gold"/>
    <s v="Rohan"/>
    <n v="2"/>
    <n v="48857"/>
    <n v="97714"/>
    <n v="78481.09"/>
  </r>
  <r>
    <n v="2133"/>
    <d v="2024-04-23T00:00:00"/>
    <x v="0"/>
    <s v="Necklaces"/>
    <s v="Diamond Necklace"/>
    <s v="Diamond"/>
    <s v="Meera"/>
    <n v="3"/>
    <n v="46657"/>
    <n v="139971"/>
    <n v="94032.74"/>
  </r>
  <r>
    <n v="2134"/>
    <d v="2024-04-05T00:00:00"/>
    <x v="2"/>
    <s v="Anklets"/>
    <s v="Anklet"/>
    <s v="Silver"/>
    <s v="Arjun"/>
    <n v="2"/>
    <n v="71576"/>
    <n v="143152"/>
    <n v="104988.51"/>
  </r>
  <r>
    <n v="2135"/>
    <d v="2024-07-20T00:00:00"/>
    <x v="4"/>
    <s v="Rings"/>
    <s v="Gold Ring"/>
    <s v="Gold"/>
    <s v="Rohan"/>
    <n v="1"/>
    <n v="35911"/>
    <n v="35911"/>
    <n v="23511.86"/>
  </r>
  <r>
    <n v="2136"/>
    <d v="2024-01-27T00:00:00"/>
    <x v="0"/>
    <s v="Anklets"/>
    <s v="Anklet"/>
    <s v="Silver"/>
    <s v="Meera"/>
    <n v="1"/>
    <n v="32130"/>
    <n v="32130"/>
    <n v="23411.99"/>
  </r>
  <r>
    <n v="2137"/>
    <d v="2024-02-10T00:00:00"/>
    <x v="5"/>
    <s v="Earrings"/>
    <s v="Diamond Earrings"/>
    <s v="Diamond"/>
    <s v="Aisha"/>
    <n v="2"/>
    <n v="51154"/>
    <n v="102308"/>
    <n v="70401.89"/>
  </r>
  <r>
    <n v="2138"/>
    <d v="2024-01-17T00:00:00"/>
    <x v="5"/>
    <s v="Pendants"/>
    <s v="Pendant"/>
    <s v="Gold"/>
    <s v="Meera"/>
    <n v="3"/>
    <n v="57626"/>
    <n v="172878"/>
    <n v="141384.01999999999"/>
  </r>
  <r>
    <n v="2139"/>
    <d v="2024-02-25T00:00:00"/>
    <x v="2"/>
    <s v="Earrings"/>
    <s v="Diamond Earrings"/>
    <s v="Diamond"/>
    <s v="Rohan"/>
    <n v="1"/>
    <n v="18255"/>
    <n v="18255"/>
    <n v="12887.32"/>
  </r>
  <r>
    <n v="2140"/>
    <d v="2024-10-14T00:00:00"/>
    <x v="2"/>
    <s v="Earrings"/>
    <s v="Diamond Earrings"/>
    <s v="Diamond"/>
    <s v="Aisha"/>
    <n v="2"/>
    <n v="57824"/>
    <n v="115648"/>
    <n v="83419.89"/>
  </r>
  <r>
    <n v="2141"/>
    <d v="2024-02-14T00:00:00"/>
    <x v="6"/>
    <s v="Earrings"/>
    <s v="Gold Earrings"/>
    <s v="Gold"/>
    <s v="Meera"/>
    <n v="1"/>
    <n v="70057"/>
    <n v="70057"/>
    <n v="48279.3"/>
  </r>
  <r>
    <n v="2142"/>
    <d v="2024-06-14T00:00:00"/>
    <x v="2"/>
    <s v="Pendants"/>
    <s v="Pendant"/>
    <s v="Gold"/>
    <s v="Rohan"/>
    <n v="3"/>
    <n v="70198"/>
    <n v="210594"/>
    <n v="138161.54"/>
  </r>
  <r>
    <n v="2143"/>
    <d v="2024-07-26T00:00:00"/>
    <x v="0"/>
    <s v="Bracelets"/>
    <s v="Bracelet"/>
    <s v="Gold"/>
    <s v="Nisha"/>
    <n v="1"/>
    <n v="57226"/>
    <n v="57226"/>
    <n v="37595.82"/>
  </r>
  <r>
    <n v="2144"/>
    <d v="2024-05-11T00:00:00"/>
    <x v="6"/>
    <s v="Rings"/>
    <s v="Diamond Ring"/>
    <s v="Diamond"/>
    <s v="Aisha"/>
    <n v="2"/>
    <n v="16238"/>
    <n v="32476"/>
    <n v="26945.67"/>
  </r>
  <r>
    <n v="2145"/>
    <d v="2024-06-20T00:00:00"/>
    <x v="1"/>
    <s v="Earrings"/>
    <s v="Diamond Earrings"/>
    <s v="Diamond"/>
    <s v="Karan"/>
    <n v="5"/>
    <n v="13712"/>
    <n v="68560"/>
    <n v="48158.91"/>
  </r>
  <r>
    <n v="2146"/>
    <d v="2024-01-02T00:00:00"/>
    <x v="1"/>
    <s v="Earrings"/>
    <s v="Diamond Earrings"/>
    <s v="Diamond"/>
    <s v="Karan"/>
    <n v="5"/>
    <n v="16563"/>
    <n v="82815"/>
    <n v="54231.51"/>
  </r>
  <r>
    <n v="2147"/>
    <d v="2024-08-26T00:00:00"/>
    <x v="3"/>
    <s v="Necklaces"/>
    <s v="Diamond Necklace"/>
    <s v="Diamond"/>
    <s v="Meera"/>
    <n v="4"/>
    <n v="40905"/>
    <n v="163620"/>
    <n v="136247.81"/>
  </r>
  <r>
    <n v="2148"/>
    <d v="2024-04-03T00:00:00"/>
    <x v="0"/>
    <s v="Bracelets"/>
    <s v="Bangle"/>
    <s v="Gold"/>
    <s v="Meera"/>
    <n v="1"/>
    <n v="47756"/>
    <n v="47756"/>
    <n v="38899.699999999997"/>
  </r>
  <r>
    <n v="2149"/>
    <d v="2024-06-16T00:00:00"/>
    <x v="4"/>
    <s v="Necklaces"/>
    <s v="Gold Necklace"/>
    <s v="Gold"/>
    <s v="Rohan"/>
    <n v="3"/>
    <n v="68395"/>
    <n v="205185"/>
    <n v="148219.82999999999"/>
  </r>
  <r>
    <n v="2150"/>
    <d v="2024-04-11T00:00:00"/>
    <x v="3"/>
    <s v="Anklets"/>
    <s v="Anklet"/>
    <s v="Silver"/>
    <s v="Arjun"/>
    <n v="4"/>
    <n v="28963"/>
    <n v="115852"/>
    <n v="81034.009999999995"/>
  </r>
  <r>
    <n v="2151"/>
    <d v="2024-09-03T00:00:00"/>
    <x v="5"/>
    <s v="Rings"/>
    <s v="Diamond Ring"/>
    <s v="Diamond"/>
    <s v="Aisha"/>
    <n v="5"/>
    <n v="79383"/>
    <n v="396915"/>
    <n v="283854.43"/>
  </r>
  <r>
    <n v="2152"/>
    <d v="2024-05-15T00:00:00"/>
    <x v="3"/>
    <s v="Bracelets"/>
    <s v="Bracelet"/>
    <s v="Gold"/>
    <s v="Aisha"/>
    <n v="5"/>
    <n v="19020"/>
    <n v="95100"/>
    <n v="65777.649999999994"/>
  </r>
  <r>
    <n v="2153"/>
    <d v="2024-08-16T00:00:00"/>
    <x v="2"/>
    <s v="Bracelets"/>
    <s v="Bracelet"/>
    <s v="Gold"/>
    <s v="Nisha"/>
    <n v="2"/>
    <n v="38696"/>
    <n v="77392"/>
    <n v="52362.36"/>
  </r>
  <r>
    <n v="2154"/>
    <d v="2024-04-30T00:00:00"/>
    <x v="4"/>
    <s v="Bracelets"/>
    <s v="Bangle"/>
    <s v="Gold"/>
    <s v="Nisha"/>
    <n v="5"/>
    <n v="23881"/>
    <n v="119405"/>
    <n v="96234.47"/>
  </r>
  <r>
    <n v="2155"/>
    <d v="2024-10-17T00:00:00"/>
    <x v="1"/>
    <s v="Earrings"/>
    <s v="Gold Earrings"/>
    <s v="Gold"/>
    <s v="Karan"/>
    <n v="3"/>
    <n v="56886"/>
    <n v="170658"/>
    <n v="119599.05"/>
  </r>
  <r>
    <n v="2156"/>
    <d v="2024-05-06T00:00:00"/>
    <x v="0"/>
    <s v="Earrings"/>
    <s v="Gold Earrings"/>
    <s v="Gold"/>
    <s v="Meera"/>
    <n v="2"/>
    <n v="40157"/>
    <n v="80314"/>
    <n v="55986.95"/>
  </r>
  <r>
    <n v="2157"/>
    <d v="2024-06-16T00:00:00"/>
    <x v="4"/>
    <s v="Earrings"/>
    <s v="Gold Earrings"/>
    <s v="Gold"/>
    <s v="Rohan"/>
    <n v="1"/>
    <n v="59913"/>
    <n v="59913"/>
    <n v="41958.92"/>
  </r>
  <r>
    <n v="2158"/>
    <d v="2024-04-28T00:00:00"/>
    <x v="4"/>
    <s v="Necklaces"/>
    <s v="Diamond Necklace"/>
    <s v="Diamond"/>
    <s v="Arjun"/>
    <n v="1"/>
    <n v="68806"/>
    <n v="68806"/>
    <n v="58360.639999999999"/>
  </r>
  <r>
    <n v="2159"/>
    <d v="2024-04-28T00:00:00"/>
    <x v="3"/>
    <s v="Rings"/>
    <s v="Diamond Ring"/>
    <s v="Diamond"/>
    <s v="Meera"/>
    <n v="4"/>
    <n v="57004"/>
    <n v="228016"/>
    <n v="150051.03"/>
  </r>
  <r>
    <n v="2160"/>
    <d v="2024-01-26T00:00:00"/>
    <x v="0"/>
    <s v="Earrings"/>
    <s v="Gold Earrings"/>
    <s v="Gold"/>
    <s v="Aisha"/>
    <n v="2"/>
    <n v="33449"/>
    <n v="66898"/>
    <n v="55929.05"/>
  </r>
  <r>
    <n v="2161"/>
    <d v="2024-08-17T00:00:00"/>
    <x v="4"/>
    <s v="Earrings"/>
    <s v="Diamond Earrings"/>
    <s v="Diamond"/>
    <s v="Rohan"/>
    <n v="5"/>
    <n v="42071"/>
    <n v="210355"/>
    <n v="169335.7"/>
  </r>
  <r>
    <n v="2162"/>
    <d v="2024-11-01T00:00:00"/>
    <x v="3"/>
    <s v="Rings"/>
    <s v="Gold Ring"/>
    <s v="Gold"/>
    <s v="Nisha"/>
    <n v="5"/>
    <n v="53835"/>
    <n v="269175"/>
    <n v="186680.69"/>
  </r>
  <r>
    <n v="2163"/>
    <d v="2024-01-23T00:00:00"/>
    <x v="1"/>
    <s v="Earrings"/>
    <s v="Diamond Earrings"/>
    <s v="Diamond"/>
    <s v="Rohan"/>
    <n v="2"/>
    <n v="41412"/>
    <n v="82824"/>
    <n v="54468.97"/>
  </r>
  <r>
    <n v="2164"/>
    <d v="2024-06-16T00:00:00"/>
    <x v="6"/>
    <s v="Necklaces"/>
    <s v="Diamond Necklace"/>
    <s v="Diamond"/>
    <s v="Aisha"/>
    <n v="4"/>
    <n v="56733"/>
    <n v="226932"/>
    <n v="155908.87"/>
  </r>
  <r>
    <n v="2165"/>
    <d v="2024-01-17T00:00:00"/>
    <x v="3"/>
    <s v="Earrings"/>
    <s v="Gold Earrings"/>
    <s v="Gold"/>
    <s v="Rohan"/>
    <n v="4"/>
    <n v="79833"/>
    <n v="319332"/>
    <n v="238445.65"/>
  </r>
  <r>
    <n v="2166"/>
    <d v="2024-12-05T00:00:00"/>
    <x v="3"/>
    <s v="Bracelets"/>
    <s v="Bracelet"/>
    <s v="Gold"/>
    <s v="Meera"/>
    <n v="5"/>
    <n v="28257"/>
    <n v="141285"/>
    <n v="109896.61"/>
  </r>
  <r>
    <n v="2167"/>
    <d v="2024-07-22T00:00:00"/>
    <x v="5"/>
    <s v="Rings"/>
    <s v="Diamond Ring"/>
    <s v="Diamond"/>
    <s v="Rohan"/>
    <n v="3"/>
    <n v="61711"/>
    <n v="185133"/>
    <n v="156927.57"/>
  </r>
  <r>
    <n v="2168"/>
    <d v="2024-06-08T00:00:00"/>
    <x v="2"/>
    <s v="Earrings"/>
    <s v="Gold Earrings"/>
    <s v="Gold"/>
    <s v="Aisha"/>
    <n v="5"/>
    <n v="54816"/>
    <n v="274080"/>
    <n v="200850.21"/>
  </r>
  <r>
    <n v="2169"/>
    <d v="2024-11-25T00:00:00"/>
    <x v="6"/>
    <s v="Rings"/>
    <s v="Gold Ring"/>
    <s v="Gold"/>
    <s v="Karan"/>
    <n v="2"/>
    <n v="59213"/>
    <n v="118426"/>
    <n v="94220.479999999996"/>
  </r>
  <r>
    <n v="2170"/>
    <d v="2024-03-21T00:00:00"/>
    <x v="3"/>
    <s v="Necklaces"/>
    <s v="Diamond Necklace"/>
    <s v="Diamond"/>
    <s v="Meera"/>
    <n v="4"/>
    <n v="22881"/>
    <n v="91524"/>
    <n v="74507.28"/>
  </r>
  <r>
    <n v="2171"/>
    <d v="2024-08-23T00:00:00"/>
    <x v="4"/>
    <s v="Bracelets"/>
    <s v="Bracelet"/>
    <s v="Gold"/>
    <s v="Karan"/>
    <n v="2"/>
    <n v="25036"/>
    <n v="50072"/>
    <n v="32695.360000000001"/>
  </r>
  <r>
    <n v="2172"/>
    <d v="2024-07-22T00:00:00"/>
    <x v="0"/>
    <s v="Pendants"/>
    <s v="Pendant"/>
    <s v="Gold"/>
    <s v="Nisha"/>
    <n v="1"/>
    <n v="56607"/>
    <n v="56607"/>
    <n v="45141.24"/>
  </r>
  <r>
    <n v="2173"/>
    <d v="2024-05-25T00:00:00"/>
    <x v="0"/>
    <s v="Necklaces"/>
    <s v="Gold Necklace"/>
    <s v="Gold"/>
    <s v="Karan"/>
    <n v="2"/>
    <n v="76309"/>
    <n v="152618"/>
    <n v="104445.21"/>
  </r>
  <r>
    <n v="2174"/>
    <d v="2024-09-08T00:00:00"/>
    <x v="3"/>
    <s v="Rings"/>
    <s v="Diamond Ring"/>
    <s v="Diamond"/>
    <s v="Meera"/>
    <n v="2"/>
    <n v="47533"/>
    <n v="95066"/>
    <n v="64200.93"/>
  </r>
  <r>
    <n v="2175"/>
    <d v="2024-01-28T00:00:00"/>
    <x v="2"/>
    <s v="Rings"/>
    <s v="Gold Ring"/>
    <s v="Gold"/>
    <s v="Karan"/>
    <n v="5"/>
    <n v="58842"/>
    <n v="294210"/>
    <n v="196314.23999999999"/>
  </r>
  <r>
    <n v="2176"/>
    <d v="2024-11-23T00:00:00"/>
    <x v="5"/>
    <s v="Anklets"/>
    <s v="Anklet"/>
    <s v="Silver"/>
    <s v="Rohan"/>
    <n v="2"/>
    <n v="61016"/>
    <n v="122032"/>
    <n v="94324.12"/>
  </r>
  <r>
    <n v="2177"/>
    <d v="2024-04-03T00:00:00"/>
    <x v="6"/>
    <s v="Necklaces"/>
    <s v="Diamond Necklace"/>
    <s v="Diamond"/>
    <s v="Meera"/>
    <n v="5"/>
    <n v="36591"/>
    <n v="182955"/>
    <n v="120447.05"/>
  </r>
  <r>
    <n v="2178"/>
    <d v="2024-07-02T00:00:00"/>
    <x v="0"/>
    <s v="Pendants"/>
    <s v="Pendant"/>
    <s v="Gold"/>
    <s v="Meera"/>
    <n v="1"/>
    <n v="27590"/>
    <n v="27590"/>
    <n v="19296.77"/>
  </r>
  <r>
    <n v="2179"/>
    <d v="2024-12-10T00:00:00"/>
    <x v="3"/>
    <s v="Necklaces"/>
    <s v="Diamond Necklace"/>
    <s v="Diamond"/>
    <s v="Arjun"/>
    <n v="1"/>
    <n v="50493"/>
    <n v="50493"/>
    <n v="34009.370000000003"/>
  </r>
  <r>
    <n v="2180"/>
    <d v="2024-11-17T00:00:00"/>
    <x v="2"/>
    <s v="Anklets"/>
    <s v="Anklet"/>
    <s v="Silver"/>
    <s v="Arjun"/>
    <n v="3"/>
    <n v="63059"/>
    <n v="189177"/>
    <n v="134626.35999999999"/>
  </r>
  <r>
    <n v="2181"/>
    <d v="2024-12-03T00:00:00"/>
    <x v="2"/>
    <s v="Necklaces"/>
    <s v="Diamond Necklace"/>
    <s v="Diamond"/>
    <s v="Meera"/>
    <n v="3"/>
    <n v="66561"/>
    <n v="199683"/>
    <n v="149905.16"/>
  </r>
  <r>
    <n v="2182"/>
    <d v="2024-11-12T00:00:00"/>
    <x v="3"/>
    <s v="Necklaces"/>
    <s v="Gold Necklace"/>
    <s v="Gold"/>
    <s v="Aisha"/>
    <n v="4"/>
    <n v="68984"/>
    <n v="275936"/>
    <n v="192341.24"/>
  </r>
  <r>
    <n v="2183"/>
    <d v="2024-04-01T00:00:00"/>
    <x v="6"/>
    <s v="Anklets"/>
    <s v="Anklet"/>
    <s v="Silver"/>
    <s v="Meera"/>
    <n v="4"/>
    <n v="60473"/>
    <n v="241892"/>
    <n v="162409.97"/>
  </r>
  <r>
    <n v="2184"/>
    <d v="2024-07-06T00:00:00"/>
    <x v="1"/>
    <s v="Necklaces"/>
    <s v="Gold Necklace"/>
    <s v="Gold"/>
    <s v="Meera"/>
    <n v="1"/>
    <n v="65929"/>
    <n v="65929"/>
    <n v="49504"/>
  </r>
  <r>
    <n v="2185"/>
    <d v="2024-03-07T00:00:00"/>
    <x v="3"/>
    <s v="Rings"/>
    <s v="Gold Ring"/>
    <s v="Gold"/>
    <s v="Nisha"/>
    <n v="1"/>
    <n v="49120"/>
    <n v="49120"/>
    <n v="39567.5"/>
  </r>
  <r>
    <n v="2186"/>
    <d v="2024-09-15T00:00:00"/>
    <x v="3"/>
    <s v="Pendants"/>
    <s v="Pendant"/>
    <s v="Gold"/>
    <s v="Aisha"/>
    <n v="4"/>
    <n v="25850"/>
    <n v="103400"/>
    <n v="67744.710000000006"/>
  </r>
  <r>
    <n v="2187"/>
    <d v="2024-12-20T00:00:00"/>
    <x v="4"/>
    <s v="Rings"/>
    <s v="Diamond Ring"/>
    <s v="Diamond"/>
    <s v="Nisha"/>
    <n v="1"/>
    <n v="33389"/>
    <n v="33389"/>
    <n v="22581.77"/>
  </r>
  <r>
    <n v="2188"/>
    <d v="2024-12-17T00:00:00"/>
    <x v="1"/>
    <s v="Bracelets"/>
    <s v="Bangle"/>
    <s v="Gold"/>
    <s v="Rohan"/>
    <n v="2"/>
    <n v="16587"/>
    <n v="33174"/>
    <n v="27090.13"/>
  </r>
  <r>
    <n v="2189"/>
    <d v="2024-03-22T00:00:00"/>
    <x v="6"/>
    <s v="Anklets"/>
    <s v="Anklet"/>
    <s v="Silver"/>
    <s v="Karan"/>
    <n v="3"/>
    <n v="44043"/>
    <n v="132129"/>
    <n v="109800.84"/>
  </r>
  <r>
    <n v="2190"/>
    <d v="2024-09-14T00:00:00"/>
    <x v="0"/>
    <s v="Bracelets"/>
    <s v="Bangle"/>
    <s v="Gold"/>
    <s v="Karan"/>
    <n v="4"/>
    <n v="35305"/>
    <n v="141220"/>
    <n v="108510.28"/>
  </r>
  <r>
    <n v="2191"/>
    <d v="2024-06-12T00:00:00"/>
    <x v="4"/>
    <s v="Anklets"/>
    <s v="Anklet"/>
    <s v="Silver"/>
    <s v="Rohan"/>
    <n v="3"/>
    <n v="12827"/>
    <n v="38481"/>
    <n v="26543.75"/>
  </r>
  <r>
    <n v="2192"/>
    <d v="2024-05-22T00:00:00"/>
    <x v="0"/>
    <s v="Bracelets"/>
    <s v="Bracelet"/>
    <s v="Gold"/>
    <s v="Nisha"/>
    <n v="3"/>
    <n v="57393"/>
    <n v="172179"/>
    <n v="117727.12"/>
  </r>
  <r>
    <n v="2193"/>
    <d v="2024-01-25T00:00:00"/>
    <x v="3"/>
    <s v="Earrings"/>
    <s v="Gold Earrings"/>
    <s v="Gold"/>
    <s v="Arjun"/>
    <n v="3"/>
    <n v="67380"/>
    <n v="202140"/>
    <n v="153835.82"/>
  </r>
  <r>
    <n v="2194"/>
    <d v="2024-05-09T00:00:00"/>
    <x v="5"/>
    <s v="Anklets"/>
    <s v="Anklet"/>
    <s v="Silver"/>
    <s v="Aisha"/>
    <n v="5"/>
    <n v="59675"/>
    <n v="298375"/>
    <n v="237979.31"/>
  </r>
  <r>
    <n v="2195"/>
    <d v="2024-07-07T00:00:00"/>
    <x v="1"/>
    <s v="Earrings"/>
    <s v="Diamond Earrings"/>
    <s v="Diamond"/>
    <s v="Meera"/>
    <n v="5"/>
    <n v="27162"/>
    <n v="135810"/>
    <n v="98061.65"/>
  </r>
  <r>
    <n v="2196"/>
    <d v="2024-03-31T00:00:00"/>
    <x v="2"/>
    <s v="Rings"/>
    <s v="Diamond Ring"/>
    <s v="Diamond"/>
    <s v="Rohan"/>
    <n v="5"/>
    <n v="14329"/>
    <n v="71645"/>
    <n v="50816.13"/>
  </r>
  <r>
    <n v="2197"/>
    <d v="2024-11-23T00:00:00"/>
    <x v="1"/>
    <s v="Pendants"/>
    <s v="Pendant"/>
    <s v="Gold"/>
    <s v="Karan"/>
    <n v="5"/>
    <n v="48979"/>
    <n v="244895"/>
    <n v="195085.26"/>
  </r>
  <r>
    <n v="2198"/>
    <d v="2024-05-28T00:00:00"/>
    <x v="0"/>
    <s v="Rings"/>
    <s v="Gold Ring"/>
    <s v="Gold"/>
    <s v="Rohan"/>
    <n v="5"/>
    <n v="64653"/>
    <n v="323265"/>
    <n v="237126.97"/>
  </r>
  <r>
    <n v="2199"/>
    <d v="2024-09-07T00:00:00"/>
    <x v="3"/>
    <s v="Earrings"/>
    <s v="Diamond Earrings"/>
    <s v="Diamond"/>
    <s v="Rohan"/>
    <n v="2"/>
    <n v="13974"/>
    <n v="27948"/>
    <n v="18290.79"/>
  </r>
  <r>
    <n v="2200"/>
    <d v="2024-06-04T00:00:00"/>
    <x v="4"/>
    <s v="Rings"/>
    <s v="Gold Ring"/>
    <s v="Gold"/>
    <s v="Karan"/>
    <n v="1"/>
    <n v="76562"/>
    <n v="76562"/>
    <n v="55234.15"/>
  </r>
  <r>
    <n v="2201"/>
    <d v="2024-06-03T00:00:00"/>
    <x v="2"/>
    <s v="Necklaces"/>
    <s v="Diamond Necklace"/>
    <s v="Diamond"/>
    <s v="Arjun"/>
    <n v="5"/>
    <n v="25527"/>
    <n v="127635"/>
    <n v="88174.96"/>
  </r>
  <r>
    <n v="2202"/>
    <d v="2024-03-22T00:00:00"/>
    <x v="6"/>
    <s v="Anklets"/>
    <s v="Anklet"/>
    <s v="Silver"/>
    <s v="Meera"/>
    <n v="2"/>
    <n v="9849"/>
    <n v="19698"/>
    <n v="16493.490000000002"/>
  </r>
  <r>
    <n v="2203"/>
    <d v="2024-08-18T00:00:00"/>
    <x v="5"/>
    <s v="Necklaces"/>
    <s v="Diamond Necklace"/>
    <s v="Diamond"/>
    <s v="Rohan"/>
    <n v="1"/>
    <n v="16345"/>
    <n v="16345"/>
    <n v="12710.56"/>
  </r>
  <r>
    <n v="2204"/>
    <d v="2024-01-06T00:00:00"/>
    <x v="2"/>
    <s v="Earrings"/>
    <s v="Gold Earrings"/>
    <s v="Gold"/>
    <s v="Karan"/>
    <n v="1"/>
    <n v="53918"/>
    <n v="53918"/>
    <n v="41459.97"/>
  </r>
  <r>
    <n v="2205"/>
    <d v="2024-09-22T00:00:00"/>
    <x v="2"/>
    <s v="Anklets"/>
    <s v="Anklet"/>
    <s v="Silver"/>
    <s v="Arjun"/>
    <n v="4"/>
    <n v="40571"/>
    <n v="162284"/>
    <n v="110843.19"/>
  </r>
  <r>
    <n v="2206"/>
    <d v="2024-09-29T00:00:00"/>
    <x v="3"/>
    <s v="Rings"/>
    <s v="Gold Ring"/>
    <s v="Gold"/>
    <s v="Aisha"/>
    <n v="1"/>
    <n v="61213"/>
    <n v="61213"/>
    <n v="42061.39"/>
  </r>
  <r>
    <n v="2207"/>
    <d v="2024-01-07T00:00:00"/>
    <x v="3"/>
    <s v="Necklaces"/>
    <s v="Gold Necklace"/>
    <s v="Gold"/>
    <s v="Aisha"/>
    <n v="5"/>
    <n v="33855"/>
    <n v="169275"/>
    <n v="114845.18"/>
  </r>
  <r>
    <n v="2208"/>
    <d v="2024-11-25T00:00:00"/>
    <x v="4"/>
    <s v="Necklaces"/>
    <s v="Diamond Necklace"/>
    <s v="Diamond"/>
    <s v="Arjun"/>
    <n v="5"/>
    <n v="62426"/>
    <n v="312130"/>
    <n v="253660.61"/>
  </r>
  <r>
    <n v="2209"/>
    <d v="2024-02-02T00:00:00"/>
    <x v="4"/>
    <s v="Necklaces"/>
    <s v="Gold Necklace"/>
    <s v="Gold"/>
    <s v="Karan"/>
    <n v="3"/>
    <n v="14355"/>
    <n v="43065"/>
    <n v="36554.1"/>
  </r>
  <r>
    <n v="2210"/>
    <d v="2024-01-04T00:00:00"/>
    <x v="5"/>
    <s v="Bracelets"/>
    <s v="Bangle"/>
    <s v="Gold"/>
    <s v="Arjun"/>
    <n v="4"/>
    <n v="65232"/>
    <n v="260928"/>
    <n v="208491.25"/>
  </r>
  <r>
    <n v="2211"/>
    <d v="2024-12-01T00:00:00"/>
    <x v="3"/>
    <s v="Bracelets"/>
    <s v="Bangle"/>
    <s v="Gold"/>
    <s v="Nisha"/>
    <n v="4"/>
    <n v="30988"/>
    <n v="123952"/>
    <n v="86170.15"/>
  </r>
  <r>
    <n v="2212"/>
    <d v="2024-11-25T00:00:00"/>
    <x v="1"/>
    <s v="Rings"/>
    <s v="Diamond Ring"/>
    <s v="Diamond"/>
    <s v="Rohan"/>
    <n v="1"/>
    <n v="24156"/>
    <n v="24156"/>
    <n v="17322.349999999999"/>
  </r>
  <r>
    <n v="2213"/>
    <d v="2024-05-16T00:00:00"/>
    <x v="5"/>
    <s v="Earrings"/>
    <s v="Gold Earrings"/>
    <s v="Gold"/>
    <s v="Aisha"/>
    <n v="5"/>
    <n v="65154"/>
    <n v="325770"/>
    <n v="256428.79"/>
  </r>
  <r>
    <n v="2214"/>
    <d v="2024-11-24T00:00:00"/>
    <x v="1"/>
    <s v="Pendants"/>
    <s v="Pendant"/>
    <s v="Gold"/>
    <s v="Karan"/>
    <n v="2"/>
    <n v="19196"/>
    <n v="38392"/>
    <n v="31712.14"/>
  </r>
  <r>
    <n v="2215"/>
    <d v="2024-04-30T00:00:00"/>
    <x v="0"/>
    <s v="Rings"/>
    <s v="Gold Ring"/>
    <s v="Gold"/>
    <s v="Karan"/>
    <n v="2"/>
    <n v="28864"/>
    <n v="57728"/>
    <n v="46137.97"/>
  </r>
  <r>
    <n v="2216"/>
    <d v="2024-06-17T00:00:00"/>
    <x v="0"/>
    <s v="Earrings"/>
    <s v="Diamond Earrings"/>
    <s v="Diamond"/>
    <s v="Meera"/>
    <n v="5"/>
    <n v="39348"/>
    <n v="196740"/>
    <n v="142811.56"/>
  </r>
  <r>
    <n v="2217"/>
    <d v="2024-09-28T00:00:00"/>
    <x v="2"/>
    <s v="Pendants"/>
    <s v="Pendant"/>
    <s v="Gold"/>
    <s v="Meera"/>
    <n v="1"/>
    <n v="11475"/>
    <n v="11475"/>
    <n v="8462.16"/>
  </r>
  <r>
    <n v="2218"/>
    <d v="2024-04-18T00:00:00"/>
    <x v="4"/>
    <s v="Necklaces"/>
    <s v="Diamond Necklace"/>
    <s v="Diamond"/>
    <s v="Karan"/>
    <n v="4"/>
    <n v="18197"/>
    <n v="72788"/>
    <n v="55540.22"/>
  </r>
  <r>
    <n v="2219"/>
    <d v="2024-01-14T00:00:00"/>
    <x v="0"/>
    <s v="Necklaces"/>
    <s v="Gold Necklace"/>
    <s v="Gold"/>
    <s v="Aisha"/>
    <n v="1"/>
    <n v="21982"/>
    <n v="21982"/>
    <n v="17022.73"/>
  </r>
  <r>
    <n v="2220"/>
    <d v="2024-12-24T00:00:00"/>
    <x v="1"/>
    <s v="Necklaces"/>
    <s v="Gold Necklace"/>
    <s v="Gold"/>
    <s v="Rohan"/>
    <n v="1"/>
    <n v="12046"/>
    <n v="12046"/>
    <n v="7930.24"/>
  </r>
  <r>
    <n v="2221"/>
    <d v="2024-01-24T00:00:00"/>
    <x v="5"/>
    <s v="Rings"/>
    <s v="Gold Ring"/>
    <s v="Gold"/>
    <s v="Aisha"/>
    <n v="1"/>
    <n v="55632"/>
    <n v="55632"/>
    <n v="38378.43"/>
  </r>
  <r>
    <n v="2222"/>
    <d v="2024-12-30T00:00:00"/>
    <x v="5"/>
    <s v="Pendants"/>
    <s v="Pendant"/>
    <s v="Gold"/>
    <s v="Aisha"/>
    <n v="4"/>
    <n v="22039"/>
    <n v="88156"/>
    <n v="61648.86"/>
  </r>
  <r>
    <n v="2223"/>
    <d v="2024-01-18T00:00:00"/>
    <x v="3"/>
    <s v="Necklaces"/>
    <s v="Diamond Necklace"/>
    <s v="Diamond"/>
    <s v="Aisha"/>
    <n v="1"/>
    <n v="45665"/>
    <n v="45665"/>
    <n v="34039.74"/>
  </r>
  <r>
    <n v="2224"/>
    <d v="2024-04-14T00:00:00"/>
    <x v="3"/>
    <s v="Necklaces"/>
    <s v="Gold Necklace"/>
    <s v="Gold"/>
    <s v="Nisha"/>
    <n v="3"/>
    <n v="49830"/>
    <n v="149490"/>
    <n v="107229.65"/>
  </r>
  <r>
    <n v="2225"/>
    <d v="2024-05-11T00:00:00"/>
    <x v="3"/>
    <s v="Earrings"/>
    <s v="Gold Earrings"/>
    <s v="Gold"/>
    <s v="Karan"/>
    <n v="3"/>
    <n v="14344"/>
    <n v="43032"/>
    <n v="34130.94"/>
  </r>
  <r>
    <n v="2226"/>
    <d v="2024-09-14T00:00:00"/>
    <x v="1"/>
    <s v="Earrings"/>
    <s v="Diamond Earrings"/>
    <s v="Diamond"/>
    <s v="Arjun"/>
    <n v="4"/>
    <n v="45702"/>
    <n v="182808"/>
    <n v="141430.35"/>
  </r>
  <r>
    <n v="2227"/>
    <d v="2024-01-16T00:00:00"/>
    <x v="6"/>
    <s v="Rings"/>
    <s v="Gold Ring"/>
    <s v="Gold"/>
    <s v="Meera"/>
    <n v="4"/>
    <n v="75976"/>
    <n v="303904"/>
    <n v="244522.73"/>
  </r>
  <r>
    <n v="2228"/>
    <d v="2024-01-25T00:00:00"/>
    <x v="2"/>
    <s v="Earrings"/>
    <s v="Diamond Earrings"/>
    <s v="Diamond"/>
    <s v="Nisha"/>
    <n v="5"/>
    <n v="36386"/>
    <n v="181930"/>
    <n v="144248.29999999999"/>
  </r>
  <r>
    <n v="2229"/>
    <d v="2024-03-28T00:00:00"/>
    <x v="4"/>
    <s v="Rings"/>
    <s v="Diamond Ring"/>
    <s v="Diamond"/>
    <s v="Karan"/>
    <n v="4"/>
    <n v="8170"/>
    <n v="32680"/>
    <n v="24663.96"/>
  </r>
  <r>
    <n v="2230"/>
    <d v="2024-01-03T00:00:00"/>
    <x v="6"/>
    <s v="Earrings"/>
    <s v="Gold Earrings"/>
    <s v="Gold"/>
    <s v="Aisha"/>
    <n v="3"/>
    <n v="72333"/>
    <n v="216999"/>
    <n v="145202.23000000001"/>
  </r>
  <r>
    <n v="2231"/>
    <d v="2024-06-26T00:00:00"/>
    <x v="2"/>
    <s v="Necklaces"/>
    <s v="Gold Necklace"/>
    <s v="Gold"/>
    <s v="Arjun"/>
    <n v="5"/>
    <n v="42154"/>
    <n v="210770"/>
    <n v="161365.82"/>
  </r>
  <r>
    <n v="2232"/>
    <d v="2024-12-24T00:00:00"/>
    <x v="1"/>
    <s v="Necklaces"/>
    <s v="Gold Necklace"/>
    <s v="Gold"/>
    <s v="Rohan"/>
    <n v="2"/>
    <n v="73315"/>
    <n v="146630"/>
    <n v="100171.49"/>
  </r>
  <r>
    <n v="2233"/>
    <d v="2024-10-14T00:00:00"/>
    <x v="2"/>
    <s v="Rings"/>
    <s v="Diamond Ring"/>
    <s v="Diamond"/>
    <s v="Nisha"/>
    <n v="1"/>
    <n v="50813"/>
    <n v="50813"/>
    <n v="36642.44"/>
  </r>
  <r>
    <n v="2234"/>
    <d v="2024-02-14T00:00:00"/>
    <x v="2"/>
    <s v="Bracelets"/>
    <s v="Bracelet"/>
    <s v="Gold"/>
    <s v="Nisha"/>
    <n v="4"/>
    <n v="11299"/>
    <n v="45196"/>
    <n v="32739.53"/>
  </r>
  <r>
    <n v="2235"/>
    <d v="2024-10-06T00:00:00"/>
    <x v="1"/>
    <s v="Earrings"/>
    <s v="Gold Earrings"/>
    <s v="Gold"/>
    <s v="Meera"/>
    <n v="5"/>
    <n v="30427"/>
    <n v="152135"/>
    <n v="110428.87"/>
  </r>
  <r>
    <n v="2236"/>
    <d v="2024-09-29T00:00:00"/>
    <x v="2"/>
    <s v="Necklaces"/>
    <s v="Diamond Necklace"/>
    <s v="Diamond"/>
    <s v="Rohan"/>
    <n v="5"/>
    <n v="12441"/>
    <n v="62205"/>
    <n v="44768.76"/>
  </r>
  <r>
    <n v="2237"/>
    <d v="2024-08-18T00:00:00"/>
    <x v="4"/>
    <s v="Earrings"/>
    <s v="Diamond Earrings"/>
    <s v="Diamond"/>
    <s v="Rohan"/>
    <n v="5"/>
    <n v="50380"/>
    <n v="251900"/>
    <n v="172276.96"/>
  </r>
  <r>
    <n v="2238"/>
    <d v="2024-10-23T00:00:00"/>
    <x v="5"/>
    <s v="Bracelets"/>
    <s v="Bangle"/>
    <s v="Gold"/>
    <s v="Karan"/>
    <n v="2"/>
    <n v="24522"/>
    <n v="49044"/>
    <n v="35155.269999999997"/>
  </r>
  <r>
    <n v="2239"/>
    <d v="2024-05-16T00:00:00"/>
    <x v="4"/>
    <s v="Necklaces"/>
    <s v="Diamond Necklace"/>
    <s v="Diamond"/>
    <s v="Rohan"/>
    <n v="3"/>
    <n v="28262"/>
    <n v="84786"/>
    <n v="67376.649999999994"/>
  </r>
  <r>
    <n v="2240"/>
    <d v="2024-11-04T00:00:00"/>
    <x v="5"/>
    <s v="Necklaces"/>
    <s v="Diamond Necklace"/>
    <s v="Diamond"/>
    <s v="Karan"/>
    <n v="5"/>
    <n v="53695"/>
    <n v="268475"/>
    <n v="183149.58"/>
  </r>
  <r>
    <n v="2241"/>
    <d v="2024-02-22T00:00:00"/>
    <x v="0"/>
    <s v="Earrings"/>
    <s v="Diamond Earrings"/>
    <s v="Diamond"/>
    <s v="Karan"/>
    <n v="2"/>
    <n v="21321"/>
    <n v="42642"/>
    <n v="29384.02"/>
  </r>
  <r>
    <n v="2242"/>
    <d v="2024-06-01T00:00:00"/>
    <x v="0"/>
    <s v="Necklaces"/>
    <s v="Gold Necklace"/>
    <s v="Gold"/>
    <s v="Karan"/>
    <n v="4"/>
    <n v="43890"/>
    <n v="175560"/>
    <n v="121002.66"/>
  </r>
  <r>
    <n v="2243"/>
    <d v="2024-07-17T00:00:00"/>
    <x v="1"/>
    <s v="Rings"/>
    <s v="Diamond Ring"/>
    <s v="Diamond"/>
    <s v="Rohan"/>
    <n v="4"/>
    <n v="12447"/>
    <n v="49788"/>
    <n v="32487.84"/>
  </r>
  <r>
    <n v="2244"/>
    <d v="2024-09-13T00:00:00"/>
    <x v="5"/>
    <s v="Bracelets"/>
    <s v="Bracelet"/>
    <s v="Gold"/>
    <s v="Rohan"/>
    <n v="3"/>
    <n v="68722"/>
    <n v="206166"/>
    <n v="134919.87"/>
  </r>
  <r>
    <n v="2245"/>
    <d v="2024-07-26T00:00:00"/>
    <x v="4"/>
    <s v="Earrings"/>
    <s v="Gold Earrings"/>
    <s v="Gold"/>
    <s v="Nisha"/>
    <n v="1"/>
    <n v="39756"/>
    <n v="39756"/>
    <n v="33061.120000000003"/>
  </r>
  <r>
    <n v="2246"/>
    <d v="2024-10-27T00:00:00"/>
    <x v="5"/>
    <s v="Bracelets"/>
    <s v="Bracelet"/>
    <s v="Gold"/>
    <s v="Arjun"/>
    <n v="4"/>
    <n v="37958"/>
    <n v="151832"/>
    <n v="118972.39"/>
  </r>
  <r>
    <n v="2247"/>
    <d v="2024-12-13T00:00:00"/>
    <x v="6"/>
    <s v="Anklets"/>
    <s v="Anklet"/>
    <s v="Silver"/>
    <s v="Rohan"/>
    <n v="2"/>
    <n v="24281"/>
    <n v="48562"/>
    <n v="35973.78"/>
  </r>
  <r>
    <n v="2248"/>
    <d v="2024-12-24T00:00:00"/>
    <x v="1"/>
    <s v="Earrings"/>
    <s v="Diamond Earrings"/>
    <s v="Diamond"/>
    <s v="Nisha"/>
    <n v="1"/>
    <n v="62995"/>
    <n v="62995"/>
    <n v="44000.7"/>
  </r>
  <r>
    <n v="2249"/>
    <d v="2024-11-18T00:00:00"/>
    <x v="5"/>
    <s v="Bracelets"/>
    <s v="Bracelet"/>
    <s v="Gold"/>
    <s v="Nisha"/>
    <n v="2"/>
    <n v="40775"/>
    <n v="81550"/>
    <n v="66861.89"/>
  </r>
  <r>
    <n v="2250"/>
    <d v="2024-11-14T00:00:00"/>
    <x v="2"/>
    <s v="Bracelets"/>
    <s v="Bangle"/>
    <s v="Gold"/>
    <s v="Aisha"/>
    <n v="4"/>
    <n v="75928"/>
    <n v="303712"/>
    <n v="238428.79999999999"/>
  </r>
  <r>
    <n v="2251"/>
    <d v="2024-01-06T00:00:00"/>
    <x v="5"/>
    <s v="Necklaces"/>
    <s v="Gold Necklace"/>
    <s v="Gold"/>
    <s v="Karan"/>
    <n v="4"/>
    <n v="72204"/>
    <n v="288816"/>
    <n v="240190.47"/>
  </r>
  <r>
    <n v="2252"/>
    <d v="2024-10-05T00:00:00"/>
    <x v="3"/>
    <s v="Rings"/>
    <s v="Diamond Ring"/>
    <s v="Diamond"/>
    <s v="Karan"/>
    <n v="2"/>
    <n v="29081"/>
    <n v="58162"/>
    <n v="46136.61"/>
  </r>
  <r>
    <n v="2253"/>
    <d v="2024-02-21T00:00:00"/>
    <x v="4"/>
    <s v="Necklaces"/>
    <s v="Diamond Necklace"/>
    <s v="Diamond"/>
    <s v="Karan"/>
    <n v="5"/>
    <n v="67871"/>
    <n v="339355"/>
    <n v="257301.36"/>
  </r>
  <r>
    <n v="2254"/>
    <d v="2024-11-23T00:00:00"/>
    <x v="4"/>
    <s v="Bracelets"/>
    <s v="Bangle"/>
    <s v="Gold"/>
    <s v="Aisha"/>
    <n v="3"/>
    <n v="76378"/>
    <n v="229134"/>
    <n v="164648.9"/>
  </r>
  <r>
    <n v="2255"/>
    <d v="2024-04-04T00:00:00"/>
    <x v="0"/>
    <s v="Bracelets"/>
    <s v="Bangle"/>
    <s v="Gold"/>
    <s v="Nisha"/>
    <n v="4"/>
    <n v="75343"/>
    <n v="301372"/>
    <n v="241863.18"/>
  </r>
  <r>
    <n v="2256"/>
    <d v="2024-07-01T00:00:00"/>
    <x v="5"/>
    <s v="Rings"/>
    <s v="Diamond Ring"/>
    <s v="Diamond"/>
    <s v="Arjun"/>
    <n v="1"/>
    <n v="41090"/>
    <n v="41090"/>
    <n v="28963.17"/>
  </r>
  <r>
    <n v="2257"/>
    <d v="2024-02-08T00:00:00"/>
    <x v="3"/>
    <s v="Bracelets"/>
    <s v="Bracelet"/>
    <s v="Gold"/>
    <s v="Aisha"/>
    <n v="4"/>
    <n v="63121"/>
    <n v="252484"/>
    <n v="195855.11"/>
  </r>
  <r>
    <n v="2258"/>
    <d v="2024-02-25T00:00:00"/>
    <x v="4"/>
    <s v="Earrings"/>
    <s v="Diamond Earrings"/>
    <s v="Diamond"/>
    <s v="Karan"/>
    <n v="2"/>
    <n v="47779"/>
    <n v="95558"/>
    <n v="76283.39"/>
  </r>
  <r>
    <n v="2259"/>
    <d v="2024-08-24T00:00:00"/>
    <x v="0"/>
    <s v="Pendants"/>
    <s v="Pendant"/>
    <s v="Gold"/>
    <s v="Meera"/>
    <n v="2"/>
    <n v="29565"/>
    <n v="59130"/>
    <n v="39963.589999999997"/>
  </r>
  <r>
    <n v="2260"/>
    <d v="2024-04-08T00:00:00"/>
    <x v="6"/>
    <s v="Rings"/>
    <s v="Diamond Ring"/>
    <s v="Diamond"/>
    <s v="Nisha"/>
    <n v="4"/>
    <n v="37620"/>
    <n v="150480"/>
    <n v="122329.39"/>
  </r>
  <r>
    <n v="2261"/>
    <d v="2024-11-23T00:00:00"/>
    <x v="1"/>
    <s v="Necklaces"/>
    <s v="Gold Necklace"/>
    <s v="Gold"/>
    <s v="Nisha"/>
    <n v="4"/>
    <n v="69354"/>
    <n v="277416"/>
    <n v="235589.36"/>
  </r>
  <r>
    <n v="2262"/>
    <d v="2024-08-28T00:00:00"/>
    <x v="5"/>
    <s v="Pendants"/>
    <s v="Pendant"/>
    <s v="Gold"/>
    <s v="Rohan"/>
    <n v="3"/>
    <n v="38206"/>
    <n v="114618"/>
    <n v="80632.03"/>
  </r>
  <r>
    <n v="2263"/>
    <d v="2024-08-06T00:00:00"/>
    <x v="5"/>
    <s v="Bracelets"/>
    <s v="Bracelet"/>
    <s v="Gold"/>
    <s v="Karan"/>
    <n v="2"/>
    <n v="71120"/>
    <n v="142240"/>
    <n v="92532.67"/>
  </r>
  <r>
    <n v="2264"/>
    <d v="2024-12-01T00:00:00"/>
    <x v="1"/>
    <s v="Earrings"/>
    <s v="Gold Earrings"/>
    <s v="Gold"/>
    <s v="Rohan"/>
    <n v="3"/>
    <n v="49985"/>
    <n v="149955"/>
    <n v="111852.94"/>
  </r>
  <r>
    <n v="2265"/>
    <d v="2024-02-13T00:00:00"/>
    <x v="4"/>
    <s v="Bracelets"/>
    <s v="Bracelet"/>
    <s v="Gold"/>
    <s v="Nisha"/>
    <n v="3"/>
    <n v="28021"/>
    <n v="84063"/>
    <n v="70255.25"/>
  </r>
  <r>
    <n v="2266"/>
    <d v="2024-10-16T00:00:00"/>
    <x v="3"/>
    <s v="Bracelets"/>
    <s v="Bracelet"/>
    <s v="Gold"/>
    <s v="Aisha"/>
    <n v="3"/>
    <n v="26402"/>
    <n v="79206"/>
    <n v="59890"/>
  </r>
  <r>
    <n v="2267"/>
    <d v="2024-01-08T00:00:00"/>
    <x v="5"/>
    <s v="Earrings"/>
    <s v="Diamond Earrings"/>
    <s v="Diamond"/>
    <s v="Arjun"/>
    <n v="1"/>
    <n v="35492"/>
    <n v="35492"/>
    <n v="29825.83"/>
  </r>
  <r>
    <n v="2268"/>
    <d v="2024-02-21T00:00:00"/>
    <x v="1"/>
    <s v="Earrings"/>
    <s v="Gold Earrings"/>
    <s v="Gold"/>
    <s v="Arjun"/>
    <n v="5"/>
    <n v="26708"/>
    <n v="133540"/>
    <n v="109614.27"/>
  </r>
  <r>
    <n v="2269"/>
    <d v="2024-06-26T00:00:00"/>
    <x v="6"/>
    <s v="Necklaces"/>
    <s v="Gold Necklace"/>
    <s v="Gold"/>
    <s v="Meera"/>
    <n v="2"/>
    <n v="35333"/>
    <n v="70666"/>
    <n v="58710.55"/>
  </r>
  <r>
    <n v="2270"/>
    <d v="2024-12-18T00:00:00"/>
    <x v="0"/>
    <s v="Pendants"/>
    <s v="Pendant"/>
    <s v="Gold"/>
    <s v="Arjun"/>
    <n v="5"/>
    <n v="19849"/>
    <n v="99245"/>
    <n v="77777.47"/>
  </r>
  <r>
    <n v="2271"/>
    <d v="2024-06-01T00:00:00"/>
    <x v="6"/>
    <s v="Pendants"/>
    <s v="Pendant"/>
    <s v="Gold"/>
    <s v="Nisha"/>
    <n v="2"/>
    <n v="72810"/>
    <n v="145620"/>
    <n v="114829.89"/>
  </r>
  <r>
    <n v="2272"/>
    <d v="2024-08-12T00:00:00"/>
    <x v="3"/>
    <s v="Pendants"/>
    <s v="Pendant"/>
    <s v="Gold"/>
    <s v="Nisha"/>
    <n v="1"/>
    <n v="23521"/>
    <n v="23521"/>
    <n v="16532.88"/>
  </r>
  <r>
    <n v="2273"/>
    <d v="2024-08-30T00:00:00"/>
    <x v="6"/>
    <s v="Necklaces"/>
    <s v="Diamond Necklace"/>
    <s v="Diamond"/>
    <s v="Rohan"/>
    <n v="4"/>
    <n v="15661"/>
    <n v="62644"/>
    <n v="46787.18"/>
  </r>
  <r>
    <n v="2274"/>
    <d v="2024-05-06T00:00:00"/>
    <x v="5"/>
    <s v="Necklaces"/>
    <s v="Gold Necklace"/>
    <s v="Gold"/>
    <s v="Meera"/>
    <n v="4"/>
    <n v="29576"/>
    <n v="118304"/>
    <n v="89663.61"/>
  </r>
  <r>
    <n v="2275"/>
    <d v="2024-08-27T00:00:00"/>
    <x v="0"/>
    <s v="Rings"/>
    <s v="Gold Ring"/>
    <s v="Gold"/>
    <s v="Karan"/>
    <n v="5"/>
    <n v="73222"/>
    <n v="366110"/>
    <n v="286686.14"/>
  </r>
  <r>
    <n v="2276"/>
    <d v="2024-08-02T00:00:00"/>
    <x v="1"/>
    <s v="Bracelets"/>
    <s v="Bangle"/>
    <s v="Gold"/>
    <s v="Meera"/>
    <n v="1"/>
    <n v="31660"/>
    <n v="31660"/>
    <n v="24612.74"/>
  </r>
  <r>
    <n v="2277"/>
    <d v="2024-01-24T00:00:00"/>
    <x v="3"/>
    <s v="Rings"/>
    <s v="Gold Ring"/>
    <s v="Gold"/>
    <s v="Arjun"/>
    <n v="3"/>
    <n v="20317"/>
    <n v="60951"/>
    <n v="45842.78"/>
  </r>
  <r>
    <n v="2278"/>
    <d v="2024-01-18T00:00:00"/>
    <x v="6"/>
    <s v="Bracelets"/>
    <s v="Bangle"/>
    <s v="Gold"/>
    <s v="Rohan"/>
    <n v="2"/>
    <n v="62472"/>
    <n v="124944"/>
    <n v="96838.54"/>
  </r>
  <r>
    <n v="2279"/>
    <d v="2024-07-06T00:00:00"/>
    <x v="3"/>
    <s v="Earrings"/>
    <s v="Diamond Earrings"/>
    <s v="Diamond"/>
    <s v="Nisha"/>
    <n v="3"/>
    <n v="70198"/>
    <n v="210594"/>
    <n v="169676.6"/>
  </r>
  <r>
    <n v="2280"/>
    <d v="2024-05-25T00:00:00"/>
    <x v="6"/>
    <s v="Pendants"/>
    <s v="Pendant"/>
    <s v="Gold"/>
    <s v="Rohan"/>
    <n v="4"/>
    <n v="52820"/>
    <n v="211280"/>
    <n v="155180.45000000001"/>
  </r>
  <r>
    <n v="2281"/>
    <d v="2024-05-29T00:00:00"/>
    <x v="3"/>
    <s v="Pendants"/>
    <s v="Pendant"/>
    <s v="Gold"/>
    <s v="Karan"/>
    <n v="3"/>
    <n v="72714"/>
    <n v="218142"/>
    <n v="159406.38"/>
  </r>
  <r>
    <n v="2282"/>
    <d v="2024-06-25T00:00:00"/>
    <x v="1"/>
    <s v="Pendants"/>
    <s v="Pendant"/>
    <s v="Gold"/>
    <s v="Arjun"/>
    <n v="2"/>
    <n v="72512"/>
    <n v="145024"/>
    <n v="117235.98"/>
  </r>
  <r>
    <n v="2283"/>
    <d v="2024-12-31T00:00:00"/>
    <x v="0"/>
    <s v="Earrings"/>
    <s v="Diamond Earrings"/>
    <s v="Diamond"/>
    <s v="Karan"/>
    <n v="3"/>
    <n v="24720"/>
    <n v="74160"/>
    <n v="56902.239999999998"/>
  </r>
  <r>
    <n v="2284"/>
    <d v="2024-07-23T00:00:00"/>
    <x v="6"/>
    <s v="Rings"/>
    <s v="Diamond Ring"/>
    <s v="Diamond"/>
    <s v="Aisha"/>
    <n v="5"/>
    <n v="61219"/>
    <n v="306095"/>
    <n v="232350.66"/>
  </r>
  <r>
    <n v="2285"/>
    <d v="2024-02-25T00:00:00"/>
    <x v="2"/>
    <s v="Rings"/>
    <s v="Gold Ring"/>
    <s v="Gold"/>
    <s v="Karan"/>
    <n v="1"/>
    <n v="14081"/>
    <n v="14081"/>
    <n v="9687.56"/>
  </r>
  <r>
    <n v="2286"/>
    <d v="2024-01-31T00:00:00"/>
    <x v="4"/>
    <s v="Bracelets"/>
    <s v="Bangle"/>
    <s v="Gold"/>
    <s v="Nisha"/>
    <n v="5"/>
    <n v="79257"/>
    <n v="396285"/>
    <n v="306069.94"/>
  </r>
  <r>
    <n v="2287"/>
    <d v="2024-12-10T00:00:00"/>
    <x v="0"/>
    <s v="Anklets"/>
    <s v="Anklet"/>
    <s v="Silver"/>
    <s v="Nisha"/>
    <n v="5"/>
    <n v="18879"/>
    <n v="94395"/>
    <n v="65368.56"/>
  </r>
  <r>
    <n v="2288"/>
    <d v="2024-02-21T00:00:00"/>
    <x v="5"/>
    <s v="Bracelets"/>
    <s v="Bangle"/>
    <s v="Gold"/>
    <s v="Rohan"/>
    <n v="2"/>
    <n v="12846"/>
    <n v="25692"/>
    <n v="18866"/>
  </r>
  <r>
    <n v="2289"/>
    <d v="2024-07-07T00:00:00"/>
    <x v="5"/>
    <s v="Rings"/>
    <s v="Diamond Ring"/>
    <s v="Diamond"/>
    <s v="Aisha"/>
    <n v="2"/>
    <n v="48546"/>
    <n v="97092"/>
    <n v="74024.91"/>
  </r>
  <r>
    <n v="2290"/>
    <d v="2024-04-04T00:00:00"/>
    <x v="6"/>
    <s v="Earrings"/>
    <s v="Gold Earrings"/>
    <s v="Gold"/>
    <s v="Karan"/>
    <n v="4"/>
    <n v="12488"/>
    <n v="49952"/>
    <n v="35650.51"/>
  </r>
  <r>
    <n v="2291"/>
    <d v="2024-10-23T00:00:00"/>
    <x v="4"/>
    <s v="Bracelets"/>
    <s v="Bracelet"/>
    <s v="Gold"/>
    <s v="Nisha"/>
    <n v="1"/>
    <n v="73243"/>
    <n v="73243"/>
    <n v="55921.14"/>
  </r>
  <r>
    <n v="2292"/>
    <d v="2024-08-03T00:00:00"/>
    <x v="6"/>
    <s v="Rings"/>
    <s v="Gold Ring"/>
    <s v="Gold"/>
    <s v="Aisha"/>
    <n v="5"/>
    <n v="61038"/>
    <n v="305190"/>
    <n v="225625.24"/>
  </r>
  <r>
    <n v="2293"/>
    <d v="2024-10-31T00:00:00"/>
    <x v="5"/>
    <s v="Rings"/>
    <s v="Gold Ring"/>
    <s v="Gold"/>
    <s v="Meera"/>
    <n v="5"/>
    <n v="28354"/>
    <n v="141770"/>
    <n v="105631.36"/>
  </r>
  <r>
    <n v="2294"/>
    <d v="2024-02-12T00:00:00"/>
    <x v="4"/>
    <s v="Bracelets"/>
    <s v="Bracelet"/>
    <s v="Gold"/>
    <s v="Aisha"/>
    <n v="4"/>
    <n v="35823"/>
    <n v="143292"/>
    <n v="118811.2"/>
  </r>
  <r>
    <n v="2295"/>
    <d v="2024-01-05T00:00:00"/>
    <x v="2"/>
    <s v="Rings"/>
    <s v="Gold Ring"/>
    <s v="Gold"/>
    <s v="Aisha"/>
    <n v="1"/>
    <n v="19552"/>
    <n v="19552"/>
    <n v="13562.23"/>
  </r>
  <r>
    <n v="2296"/>
    <d v="2024-01-10T00:00:00"/>
    <x v="0"/>
    <s v="Rings"/>
    <s v="Diamond Ring"/>
    <s v="Diamond"/>
    <s v="Meera"/>
    <n v="3"/>
    <n v="39754"/>
    <n v="119262"/>
    <n v="88272.41"/>
  </r>
  <r>
    <n v="2297"/>
    <d v="2024-12-31T00:00:00"/>
    <x v="3"/>
    <s v="Necklaces"/>
    <s v="Gold Necklace"/>
    <s v="Gold"/>
    <s v="Karan"/>
    <n v="2"/>
    <n v="19048"/>
    <n v="38096"/>
    <n v="26995.919999999998"/>
  </r>
  <r>
    <n v="2298"/>
    <d v="2024-08-23T00:00:00"/>
    <x v="5"/>
    <s v="Pendants"/>
    <s v="Pendant"/>
    <s v="Gold"/>
    <s v="Meera"/>
    <n v="3"/>
    <n v="14902"/>
    <n v="44706"/>
    <n v="35471.620000000003"/>
  </r>
  <r>
    <n v="2299"/>
    <d v="2024-11-29T00:00:00"/>
    <x v="3"/>
    <s v="Rings"/>
    <s v="Gold Ring"/>
    <s v="Gold"/>
    <s v="Aisha"/>
    <n v="5"/>
    <n v="18443"/>
    <n v="92215"/>
    <n v="67113.13"/>
  </r>
  <r>
    <n v="2300"/>
    <d v="2024-03-25T00:00:00"/>
    <x v="5"/>
    <s v="Earrings"/>
    <s v="Gold Earrings"/>
    <s v="Gold"/>
    <s v="Arjun"/>
    <n v="4"/>
    <n v="15835"/>
    <n v="63340"/>
    <n v="45177.63"/>
  </r>
  <r>
    <n v="2301"/>
    <d v="2024-08-28T00:00:00"/>
    <x v="5"/>
    <s v="Anklets"/>
    <s v="Anklet"/>
    <s v="Silver"/>
    <s v="Meera"/>
    <n v="2"/>
    <n v="26993"/>
    <n v="53986"/>
    <n v="45524.83"/>
  </r>
  <r>
    <n v="2302"/>
    <d v="2024-03-24T00:00:00"/>
    <x v="1"/>
    <s v="Rings"/>
    <s v="Diamond Ring"/>
    <s v="Diamond"/>
    <s v="Nisha"/>
    <n v="4"/>
    <n v="70516"/>
    <n v="282064"/>
    <n v="205102.13"/>
  </r>
  <r>
    <n v="2303"/>
    <d v="2024-06-19T00:00:00"/>
    <x v="1"/>
    <s v="Bracelets"/>
    <s v="Bangle"/>
    <s v="Gold"/>
    <s v="Arjun"/>
    <n v="3"/>
    <n v="44687"/>
    <n v="134061"/>
    <n v="88765.48"/>
  </r>
  <r>
    <n v="2304"/>
    <d v="2024-01-08T00:00:00"/>
    <x v="1"/>
    <s v="Anklets"/>
    <s v="Anklet"/>
    <s v="Silver"/>
    <s v="Arjun"/>
    <n v="2"/>
    <n v="48448"/>
    <n v="96896"/>
    <n v="74312.800000000003"/>
  </r>
  <r>
    <n v="2305"/>
    <d v="2024-12-16T00:00:00"/>
    <x v="2"/>
    <s v="Necklaces"/>
    <s v="Diamond Necklace"/>
    <s v="Diamond"/>
    <s v="Meera"/>
    <n v="4"/>
    <n v="38717"/>
    <n v="154868"/>
    <n v="125674.81"/>
  </r>
  <r>
    <n v="2306"/>
    <d v="2024-06-13T00:00:00"/>
    <x v="5"/>
    <s v="Earrings"/>
    <s v="Gold Earrings"/>
    <s v="Gold"/>
    <s v="Aisha"/>
    <n v="3"/>
    <n v="43130"/>
    <n v="129390"/>
    <n v="95036.96"/>
  </r>
  <r>
    <n v="2307"/>
    <d v="2024-05-27T00:00:00"/>
    <x v="6"/>
    <s v="Anklets"/>
    <s v="Anklet"/>
    <s v="Silver"/>
    <s v="Aisha"/>
    <n v="2"/>
    <n v="27267"/>
    <n v="54534"/>
    <n v="38433.910000000003"/>
  </r>
  <r>
    <n v="2308"/>
    <d v="2024-06-26T00:00:00"/>
    <x v="5"/>
    <s v="Pendants"/>
    <s v="Pendant"/>
    <s v="Gold"/>
    <s v="Meera"/>
    <n v="5"/>
    <n v="19149"/>
    <n v="95745"/>
    <n v="72574.350000000006"/>
  </r>
  <r>
    <n v="2309"/>
    <d v="2024-04-12T00:00:00"/>
    <x v="6"/>
    <s v="Bracelets"/>
    <s v="Bangle"/>
    <s v="Gold"/>
    <s v="Meera"/>
    <n v="2"/>
    <n v="48562"/>
    <n v="97124"/>
    <n v="74919.48"/>
  </r>
  <r>
    <n v="2310"/>
    <d v="2024-04-15T00:00:00"/>
    <x v="2"/>
    <s v="Bracelets"/>
    <s v="Bracelet"/>
    <s v="Gold"/>
    <s v="Nisha"/>
    <n v="3"/>
    <n v="9228"/>
    <n v="27684"/>
    <n v="22377.89"/>
  </r>
  <r>
    <n v="2311"/>
    <d v="2024-10-01T00:00:00"/>
    <x v="4"/>
    <s v="Bracelets"/>
    <s v="Bangle"/>
    <s v="Gold"/>
    <s v="Aisha"/>
    <n v="3"/>
    <n v="16209"/>
    <n v="48627"/>
    <n v="33872.269999999997"/>
  </r>
  <r>
    <n v="2312"/>
    <d v="2024-09-24T00:00:00"/>
    <x v="4"/>
    <s v="Anklets"/>
    <s v="Anklet"/>
    <s v="Silver"/>
    <s v="Karan"/>
    <n v="3"/>
    <n v="70467"/>
    <n v="211401"/>
    <n v="158811.56"/>
  </r>
  <r>
    <n v="2313"/>
    <d v="2024-04-08T00:00:00"/>
    <x v="0"/>
    <s v="Necklaces"/>
    <s v="Diamond Necklace"/>
    <s v="Diamond"/>
    <s v="Rohan"/>
    <n v="1"/>
    <n v="31683"/>
    <n v="31683"/>
    <n v="25700.39"/>
  </r>
  <r>
    <n v="2314"/>
    <d v="2024-10-15T00:00:00"/>
    <x v="1"/>
    <s v="Earrings"/>
    <s v="Gold Earrings"/>
    <s v="Gold"/>
    <s v="Arjun"/>
    <n v="3"/>
    <n v="60755"/>
    <n v="182265"/>
    <n v="146892.41"/>
  </r>
  <r>
    <n v="2315"/>
    <d v="2024-09-09T00:00:00"/>
    <x v="0"/>
    <s v="Necklaces"/>
    <s v="Gold Necklace"/>
    <s v="Gold"/>
    <s v="Aisha"/>
    <n v="3"/>
    <n v="21909"/>
    <n v="65727"/>
    <n v="47608.28"/>
  </r>
  <r>
    <n v="2316"/>
    <d v="2024-03-20T00:00:00"/>
    <x v="6"/>
    <s v="Bracelets"/>
    <s v="Bangle"/>
    <s v="Gold"/>
    <s v="Aisha"/>
    <n v="3"/>
    <n v="11979"/>
    <n v="35937"/>
    <n v="25838.14"/>
  </r>
  <r>
    <n v="2317"/>
    <d v="2024-02-18T00:00:00"/>
    <x v="4"/>
    <s v="Pendants"/>
    <s v="Pendant"/>
    <s v="Gold"/>
    <s v="Aisha"/>
    <n v="1"/>
    <n v="34823"/>
    <n v="34823"/>
    <n v="29532.720000000001"/>
  </r>
  <r>
    <n v="2318"/>
    <d v="2024-10-17T00:00:00"/>
    <x v="2"/>
    <s v="Anklets"/>
    <s v="Anklet"/>
    <s v="Silver"/>
    <s v="Arjun"/>
    <n v="2"/>
    <n v="42288"/>
    <n v="84576"/>
    <n v="70629.34"/>
  </r>
  <r>
    <n v="2319"/>
    <d v="2024-08-16T00:00:00"/>
    <x v="2"/>
    <s v="Earrings"/>
    <s v="Gold Earrings"/>
    <s v="Gold"/>
    <s v="Aisha"/>
    <n v="5"/>
    <n v="25157"/>
    <n v="125785"/>
    <n v="88150.02"/>
  </r>
  <r>
    <n v="2320"/>
    <d v="2024-04-02T00:00:00"/>
    <x v="1"/>
    <s v="Rings"/>
    <s v="Gold Ring"/>
    <s v="Gold"/>
    <s v="Rohan"/>
    <n v="4"/>
    <n v="18965"/>
    <n v="75860"/>
    <n v="49726.52"/>
  </r>
  <r>
    <n v="2321"/>
    <d v="2024-12-27T00:00:00"/>
    <x v="4"/>
    <s v="Rings"/>
    <s v="Gold Ring"/>
    <s v="Gold"/>
    <s v="Karan"/>
    <n v="4"/>
    <n v="71810"/>
    <n v="287240"/>
    <n v="241121.04"/>
  </r>
  <r>
    <n v="2322"/>
    <d v="2024-11-23T00:00:00"/>
    <x v="6"/>
    <s v="Rings"/>
    <s v="Diamond Ring"/>
    <s v="Diamond"/>
    <s v="Arjun"/>
    <n v="4"/>
    <n v="23717"/>
    <n v="94868"/>
    <n v="75066.7"/>
  </r>
  <r>
    <n v="2323"/>
    <d v="2024-10-16T00:00:00"/>
    <x v="1"/>
    <s v="Rings"/>
    <s v="Diamond Ring"/>
    <s v="Diamond"/>
    <s v="Karan"/>
    <n v="2"/>
    <n v="19768"/>
    <n v="39536"/>
    <n v="33261"/>
  </r>
  <r>
    <n v="2324"/>
    <d v="2024-08-17T00:00:00"/>
    <x v="2"/>
    <s v="Pendants"/>
    <s v="Pendant"/>
    <s v="Gold"/>
    <s v="Rohan"/>
    <n v="2"/>
    <n v="56616"/>
    <n v="113232"/>
    <n v="95471.98"/>
  </r>
  <r>
    <n v="2325"/>
    <d v="2024-05-11T00:00:00"/>
    <x v="0"/>
    <s v="Necklaces"/>
    <s v="Diamond Necklace"/>
    <s v="Diamond"/>
    <s v="Aisha"/>
    <n v="3"/>
    <n v="15769"/>
    <n v="47307"/>
    <n v="39290.870000000003"/>
  </r>
  <r>
    <n v="2326"/>
    <d v="2024-05-12T00:00:00"/>
    <x v="6"/>
    <s v="Rings"/>
    <s v="Gold Ring"/>
    <s v="Gold"/>
    <s v="Aisha"/>
    <n v="5"/>
    <n v="71363"/>
    <n v="356815"/>
    <n v="235909.51"/>
  </r>
  <r>
    <n v="2327"/>
    <d v="2024-04-11T00:00:00"/>
    <x v="1"/>
    <s v="Necklaces"/>
    <s v="Gold Necklace"/>
    <s v="Gold"/>
    <s v="Aisha"/>
    <n v="3"/>
    <n v="65839"/>
    <n v="197517"/>
    <n v="158325.59"/>
  </r>
  <r>
    <n v="2328"/>
    <d v="2024-07-09T00:00:00"/>
    <x v="2"/>
    <s v="Rings"/>
    <s v="Diamond Ring"/>
    <s v="Diamond"/>
    <s v="Karan"/>
    <n v="3"/>
    <n v="59124"/>
    <n v="177372"/>
    <n v="119695.72"/>
  </r>
  <r>
    <n v="2329"/>
    <d v="2024-08-13T00:00:00"/>
    <x v="2"/>
    <s v="Bracelets"/>
    <s v="Bangle"/>
    <s v="Gold"/>
    <s v="Rohan"/>
    <n v="2"/>
    <n v="26762"/>
    <n v="53524"/>
    <n v="44577.98"/>
  </r>
  <r>
    <n v="2330"/>
    <d v="2024-04-09T00:00:00"/>
    <x v="2"/>
    <s v="Rings"/>
    <s v="Gold Ring"/>
    <s v="Gold"/>
    <s v="Nisha"/>
    <n v="1"/>
    <n v="28572"/>
    <n v="28572"/>
    <n v="23872.93"/>
  </r>
  <r>
    <n v="2331"/>
    <d v="2024-07-10T00:00:00"/>
    <x v="3"/>
    <s v="Necklaces"/>
    <s v="Diamond Necklace"/>
    <s v="Diamond"/>
    <s v="Arjun"/>
    <n v="2"/>
    <n v="66621"/>
    <n v="133242"/>
    <n v="112135.24"/>
  </r>
  <r>
    <n v="2332"/>
    <d v="2024-11-17T00:00:00"/>
    <x v="6"/>
    <s v="Bracelets"/>
    <s v="Bracelet"/>
    <s v="Gold"/>
    <s v="Aisha"/>
    <n v="1"/>
    <n v="67288"/>
    <n v="67288"/>
    <n v="56822.18"/>
  </r>
  <r>
    <n v="2333"/>
    <d v="2024-09-01T00:00:00"/>
    <x v="6"/>
    <s v="Earrings"/>
    <s v="Diamond Earrings"/>
    <s v="Diamond"/>
    <s v="Rohan"/>
    <n v="1"/>
    <n v="55976"/>
    <n v="55976"/>
    <n v="37982.720000000001"/>
  </r>
  <r>
    <n v="2334"/>
    <d v="2024-04-02T00:00:00"/>
    <x v="5"/>
    <s v="Necklaces"/>
    <s v="Diamond Necklace"/>
    <s v="Diamond"/>
    <s v="Aisha"/>
    <n v="4"/>
    <n v="26967"/>
    <n v="107868"/>
    <n v="79584.39"/>
  </r>
  <r>
    <n v="2335"/>
    <d v="2024-07-29T00:00:00"/>
    <x v="1"/>
    <s v="Necklaces"/>
    <s v="Gold Necklace"/>
    <s v="Gold"/>
    <s v="Meera"/>
    <n v="2"/>
    <n v="28406"/>
    <n v="56812"/>
    <n v="37216.629999999997"/>
  </r>
  <r>
    <n v="2336"/>
    <d v="2024-06-20T00:00:00"/>
    <x v="6"/>
    <s v="Anklets"/>
    <s v="Anklet"/>
    <s v="Silver"/>
    <s v="Karan"/>
    <n v="2"/>
    <n v="42166"/>
    <n v="84332"/>
    <n v="63097.32"/>
  </r>
  <r>
    <n v="2337"/>
    <d v="2024-02-28T00:00:00"/>
    <x v="2"/>
    <s v="Earrings"/>
    <s v="Diamond Earrings"/>
    <s v="Diamond"/>
    <s v="Meera"/>
    <n v="2"/>
    <n v="75299"/>
    <n v="150598"/>
    <n v="99601.09"/>
  </r>
  <r>
    <n v="2338"/>
    <d v="2024-05-26T00:00:00"/>
    <x v="4"/>
    <s v="Necklaces"/>
    <s v="Diamond Necklace"/>
    <s v="Diamond"/>
    <s v="Meera"/>
    <n v="1"/>
    <n v="41789"/>
    <n v="41789"/>
    <n v="33471.74"/>
  </r>
  <r>
    <n v="2339"/>
    <d v="2024-05-02T00:00:00"/>
    <x v="2"/>
    <s v="Earrings"/>
    <s v="Diamond Earrings"/>
    <s v="Diamond"/>
    <s v="Karan"/>
    <n v="2"/>
    <n v="20788"/>
    <n v="41576"/>
    <n v="30268.54"/>
  </r>
  <r>
    <n v="2340"/>
    <d v="2024-05-30T00:00:00"/>
    <x v="0"/>
    <s v="Bracelets"/>
    <s v="Bracelet"/>
    <s v="Gold"/>
    <s v="Aisha"/>
    <n v="2"/>
    <n v="10100"/>
    <n v="20200"/>
    <n v="14916.12"/>
  </r>
  <r>
    <n v="2341"/>
    <d v="2024-03-12T00:00:00"/>
    <x v="1"/>
    <s v="Pendants"/>
    <s v="Pendant"/>
    <s v="Gold"/>
    <s v="Arjun"/>
    <n v="4"/>
    <n v="8252"/>
    <n v="33008"/>
    <n v="26667.59"/>
  </r>
  <r>
    <n v="2342"/>
    <d v="2024-07-03T00:00:00"/>
    <x v="1"/>
    <s v="Pendants"/>
    <s v="Pendant"/>
    <s v="Gold"/>
    <s v="Rohan"/>
    <n v="4"/>
    <n v="13314"/>
    <n v="53256"/>
    <n v="44330.1"/>
  </r>
  <r>
    <n v="2343"/>
    <d v="2024-04-02T00:00:00"/>
    <x v="1"/>
    <s v="Necklaces"/>
    <s v="Diamond Necklace"/>
    <s v="Diamond"/>
    <s v="Arjun"/>
    <n v="2"/>
    <n v="31609"/>
    <n v="63218"/>
    <n v="47687.27"/>
  </r>
  <r>
    <n v="2344"/>
    <d v="2024-04-10T00:00:00"/>
    <x v="5"/>
    <s v="Necklaces"/>
    <s v="Diamond Necklace"/>
    <s v="Diamond"/>
    <s v="Rohan"/>
    <n v="5"/>
    <n v="18389"/>
    <n v="91945"/>
    <n v="75008.2"/>
  </r>
  <r>
    <n v="2345"/>
    <d v="2024-05-20T00:00:00"/>
    <x v="5"/>
    <s v="Anklets"/>
    <s v="Anklet"/>
    <s v="Silver"/>
    <s v="Meera"/>
    <n v="2"/>
    <n v="35005"/>
    <n v="70010"/>
    <n v="47425.35"/>
  </r>
  <r>
    <n v="2346"/>
    <d v="2024-04-13T00:00:00"/>
    <x v="4"/>
    <s v="Necklaces"/>
    <s v="Diamond Necklace"/>
    <s v="Diamond"/>
    <s v="Karan"/>
    <n v="1"/>
    <n v="16610"/>
    <n v="16610"/>
    <n v="13096.13"/>
  </r>
  <r>
    <n v="2347"/>
    <d v="2024-01-29T00:00:00"/>
    <x v="2"/>
    <s v="Pendants"/>
    <s v="Pendant"/>
    <s v="Gold"/>
    <s v="Nisha"/>
    <n v="5"/>
    <n v="53566"/>
    <n v="267830"/>
    <n v="192045.86"/>
  </r>
  <r>
    <n v="2348"/>
    <d v="2024-07-28T00:00:00"/>
    <x v="3"/>
    <s v="Bracelets"/>
    <s v="Bangle"/>
    <s v="Gold"/>
    <s v="Aisha"/>
    <n v="4"/>
    <n v="25469"/>
    <n v="101876"/>
    <n v="83986.85"/>
  </r>
  <r>
    <n v="2349"/>
    <d v="2024-10-15T00:00:00"/>
    <x v="0"/>
    <s v="Earrings"/>
    <s v="Gold Earrings"/>
    <s v="Gold"/>
    <s v="Rohan"/>
    <n v="3"/>
    <n v="12806"/>
    <n v="38418"/>
    <n v="26227.88"/>
  </r>
  <r>
    <n v="2350"/>
    <d v="2024-01-03T00:00:00"/>
    <x v="4"/>
    <s v="Earrings"/>
    <s v="Diamond Earrings"/>
    <s v="Diamond"/>
    <s v="Arjun"/>
    <n v="3"/>
    <n v="76134"/>
    <n v="228402"/>
    <n v="191040.86"/>
  </r>
  <r>
    <n v="2351"/>
    <d v="2024-07-01T00:00:00"/>
    <x v="3"/>
    <s v="Pendants"/>
    <s v="Pendant"/>
    <s v="Gold"/>
    <s v="Aisha"/>
    <n v="2"/>
    <n v="50071"/>
    <n v="100142"/>
    <n v="80696.91"/>
  </r>
  <r>
    <n v="2352"/>
    <d v="2024-05-29T00:00:00"/>
    <x v="4"/>
    <s v="Bracelets"/>
    <s v="Bracelet"/>
    <s v="Gold"/>
    <s v="Aisha"/>
    <n v="1"/>
    <n v="72854"/>
    <n v="72854"/>
    <n v="53860.07"/>
  </r>
  <r>
    <n v="2353"/>
    <d v="2024-03-09T00:00:00"/>
    <x v="4"/>
    <s v="Rings"/>
    <s v="Gold Ring"/>
    <s v="Gold"/>
    <s v="Arjun"/>
    <n v="1"/>
    <n v="39920"/>
    <n v="39920"/>
    <n v="33671.93"/>
  </r>
  <r>
    <n v="2354"/>
    <d v="2024-03-26T00:00:00"/>
    <x v="4"/>
    <s v="Necklaces"/>
    <s v="Diamond Necklace"/>
    <s v="Diamond"/>
    <s v="Rohan"/>
    <n v="1"/>
    <n v="48883"/>
    <n v="48883"/>
    <n v="34222.58"/>
  </r>
  <r>
    <n v="2355"/>
    <d v="2024-12-23T00:00:00"/>
    <x v="3"/>
    <s v="Rings"/>
    <s v="Gold Ring"/>
    <s v="Gold"/>
    <s v="Aisha"/>
    <n v="2"/>
    <n v="42264"/>
    <n v="84528"/>
    <n v="55242.22"/>
  </r>
  <r>
    <n v="2356"/>
    <d v="2024-08-25T00:00:00"/>
    <x v="5"/>
    <s v="Anklets"/>
    <s v="Anklet"/>
    <s v="Silver"/>
    <s v="Arjun"/>
    <n v="5"/>
    <n v="39243"/>
    <n v="196215"/>
    <n v="155113.66"/>
  </r>
  <r>
    <n v="2357"/>
    <d v="2024-04-01T00:00:00"/>
    <x v="1"/>
    <s v="Rings"/>
    <s v="Diamond Ring"/>
    <s v="Diamond"/>
    <s v="Aisha"/>
    <n v="1"/>
    <n v="43784"/>
    <n v="43784"/>
    <n v="29537.119999999999"/>
  </r>
  <r>
    <n v="2358"/>
    <d v="2024-05-23T00:00:00"/>
    <x v="4"/>
    <s v="Bracelets"/>
    <s v="Bangle"/>
    <s v="Gold"/>
    <s v="Arjun"/>
    <n v="1"/>
    <n v="23995"/>
    <n v="23995"/>
    <n v="16180.04"/>
  </r>
  <r>
    <n v="2359"/>
    <d v="2024-04-26T00:00:00"/>
    <x v="4"/>
    <s v="Necklaces"/>
    <s v="Gold Necklace"/>
    <s v="Gold"/>
    <s v="Arjun"/>
    <n v="2"/>
    <n v="27296"/>
    <n v="54592"/>
    <n v="42786.76"/>
  </r>
  <r>
    <n v="2360"/>
    <d v="2024-03-25T00:00:00"/>
    <x v="5"/>
    <s v="Bracelets"/>
    <s v="Bangle"/>
    <s v="Gold"/>
    <s v="Meera"/>
    <n v="1"/>
    <n v="58953"/>
    <n v="58953"/>
    <n v="46500.58"/>
  </r>
  <r>
    <n v="2361"/>
    <d v="2024-09-26T00:00:00"/>
    <x v="6"/>
    <s v="Anklets"/>
    <s v="Anklet"/>
    <s v="Silver"/>
    <s v="Arjun"/>
    <n v="1"/>
    <n v="59856"/>
    <n v="59856"/>
    <n v="50524.35"/>
  </r>
  <r>
    <n v="2362"/>
    <d v="2024-06-22T00:00:00"/>
    <x v="6"/>
    <s v="Rings"/>
    <s v="Gold Ring"/>
    <s v="Gold"/>
    <s v="Karan"/>
    <n v="4"/>
    <n v="39506"/>
    <n v="158024"/>
    <n v="129218.39"/>
  </r>
  <r>
    <n v="2363"/>
    <d v="2024-06-13T00:00:00"/>
    <x v="6"/>
    <s v="Bracelets"/>
    <s v="Bracelet"/>
    <s v="Gold"/>
    <s v="Arjun"/>
    <n v="4"/>
    <n v="15019"/>
    <n v="60076"/>
    <n v="42952.9"/>
  </r>
  <r>
    <n v="2364"/>
    <d v="2024-05-07T00:00:00"/>
    <x v="5"/>
    <s v="Necklaces"/>
    <s v="Gold Necklace"/>
    <s v="Gold"/>
    <s v="Karan"/>
    <n v="4"/>
    <n v="9514"/>
    <n v="38056"/>
    <n v="27510.16"/>
  </r>
  <r>
    <n v="2365"/>
    <d v="2024-06-15T00:00:00"/>
    <x v="0"/>
    <s v="Pendants"/>
    <s v="Pendant"/>
    <s v="Gold"/>
    <s v="Aisha"/>
    <n v="4"/>
    <n v="34317"/>
    <n v="137268"/>
    <n v="103082.08"/>
  </r>
  <r>
    <n v="2366"/>
    <d v="2024-08-03T00:00:00"/>
    <x v="0"/>
    <s v="Rings"/>
    <s v="Gold Ring"/>
    <s v="Gold"/>
    <s v="Rohan"/>
    <n v="4"/>
    <n v="67471"/>
    <n v="269884"/>
    <n v="209603.33"/>
  </r>
  <r>
    <n v="2367"/>
    <d v="2024-11-13T00:00:00"/>
    <x v="3"/>
    <s v="Rings"/>
    <s v="Gold Ring"/>
    <s v="Gold"/>
    <s v="Nisha"/>
    <n v="3"/>
    <n v="43839"/>
    <n v="131517"/>
    <n v="102011.14"/>
  </r>
  <r>
    <n v="2368"/>
    <d v="2024-05-08T00:00:00"/>
    <x v="4"/>
    <s v="Rings"/>
    <s v="Gold Ring"/>
    <s v="Gold"/>
    <s v="Aisha"/>
    <n v="1"/>
    <n v="76197"/>
    <n v="76197"/>
    <n v="49736.33"/>
  </r>
  <r>
    <n v="2369"/>
    <d v="2024-02-27T00:00:00"/>
    <x v="3"/>
    <s v="Necklaces"/>
    <s v="Diamond Necklace"/>
    <s v="Diamond"/>
    <s v="Karan"/>
    <n v="3"/>
    <n v="53554"/>
    <n v="160662"/>
    <n v="125236.67"/>
  </r>
  <r>
    <n v="2370"/>
    <d v="2024-09-20T00:00:00"/>
    <x v="3"/>
    <s v="Rings"/>
    <s v="Diamond Ring"/>
    <s v="Diamond"/>
    <s v="Arjun"/>
    <n v="3"/>
    <n v="19072"/>
    <n v="57216"/>
    <n v="42527.71"/>
  </r>
  <r>
    <n v="2371"/>
    <d v="2024-03-04T00:00:00"/>
    <x v="0"/>
    <s v="Pendants"/>
    <s v="Pendant"/>
    <s v="Gold"/>
    <s v="Meera"/>
    <n v="5"/>
    <n v="25218"/>
    <n v="126090"/>
    <n v="104281.23"/>
  </r>
  <r>
    <n v="2372"/>
    <d v="2024-05-20T00:00:00"/>
    <x v="4"/>
    <s v="Bracelets"/>
    <s v="Bracelet"/>
    <s v="Gold"/>
    <s v="Karan"/>
    <n v="2"/>
    <n v="19514"/>
    <n v="39028"/>
    <n v="31147.49"/>
  </r>
  <r>
    <n v="2373"/>
    <d v="2024-11-08T00:00:00"/>
    <x v="6"/>
    <s v="Earrings"/>
    <s v="Gold Earrings"/>
    <s v="Gold"/>
    <s v="Meera"/>
    <n v="5"/>
    <n v="37047"/>
    <n v="185235"/>
    <n v="144496.54"/>
  </r>
  <r>
    <n v="2374"/>
    <d v="2024-07-06T00:00:00"/>
    <x v="4"/>
    <s v="Necklaces"/>
    <s v="Diamond Necklace"/>
    <s v="Diamond"/>
    <s v="Nisha"/>
    <n v="4"/>
    <n v="79831"/>
    <n v="319324"/>
    <n v="226956.42"/>
  </r>
  <r>
    <n v="2375"/>
    <d v="2024-01-16T00:00:00"/>
    <x v="2"/>
    <s v="Bracelets"/>
    <s v="Bangle"/>
    <s v="Gold"/>
    <s v="Karan"/>
    <n v="2"/>
    <n v="51734"/>
    <n v="103468"/>
    <n v="71839.5"/>
  </r>
  <r>
    <n v="2376"/>
    <d v="2024-10-26T00:00:00"/>
    <x v="4"/>
    <s v="Pendants"/>
    <s v="Pendant"/>
    <s v="Gold"/>
    <s v="Meera"/>
    <n v="4"/>
    <n v="9556"/>
    <n v="38224"/>
    <n v="31910.86"/>
  </r>
  <r>
    <n v="2377"/>
    <d v="2024-06-14T00:00:00"/>
    <x v="6"/>
    <s v="Necklaces"/>
    <s v="Gold Necklace"/>
    <s v="Gold"/>
    <s v="Rohan"/>
    <n v="5"/>
    <n v="50661"/>
    <n v="253305"/>
    <n v="189543.44"/>
  </r>
  <r>
    <n v="2378"/>
    <d v="2024-01-30T00:00:00"/>
    <x v="0"/>
    <s v="Earrings"/>
    <s v="Gold Earrings"/>
    <s v="Gold"/>
    <s v="Karan"/>
    <n v="1"/>
    <n v="28783"/>
    <n v="28783"/>
    <n v="21881.58"/>
  </r>
  <r>
    <n v="2379"/>
    <d v="2024-08-13T00:00:00"/>
    <x v="6"/>
    <s v="Anklets"/>
    <s v="Anklet"/>
    <s v="Silver"/>
    <s v="Karan"/>
    <n v="1"/>
    <n v="75763"/>
    <n v="75763"/>
    <n v="55123.45"/>
  </r>
  <r>
    <n v="2380"/>
    <d v="2024-02-25T00:00:00"/>
    <x v="1"/>
    <s v="Bracelets"/>
    <s v="Bangle"/>
    <s v="Gold"/>
    <s v="Nisha"/>
    <n v="5"/>
    <n v="37513"/>
    <n v="187565"/>
    <n v="159029.10999999999"/>
  </r>
  <r>
    <n v="2381"/>
    <d v="2024-12-08T00:00:00"/>
    <x v="2"/>
    <s v="Necklaces"/>
    <s v="Gold Necklace"/>
    <s v="Gold"/>
    <s v="Karan"/>
    <n v="3"/>
    <n v="26392"/>
    <n v="79176"/>
    <n v="62158.61"/>
  </r>
  <r>
    <n v="2382"/>
    <d v="2024-09-22T00:00:00"/>
    <x v="4"/>
    <s v="Anklets"/>
    <s v="Anklet"/>
    <s v="Silver"/>
    <s v="Karan"/>
    <n v="1"/>
    <n v="70290"/>
    <n v="70290"/>
    <n v="49465.64"/>
  </r>
  <r>
    <n v="2383"/>
    <d v="2024-01-03T00:00:00"/>
    <x v="2"/>
    <s v="Necklaces"/>
    <s v="Gold Necklace"/>
    <s v="Gold"/>
    <s v="Aisha"/>
    <n v="4"/>
    <n v="23394"/>
    <n v="93576"/>
    <n v="70142.38"/>
  </r>
  <r>
    <n v="2384"/>
    <d v="2024-05-23T00:00:00"/>
    <x v="0"/>
    <s v="Anklets"/>
    <s v="Anklet"/>
    <s v="Silver"/>
    <s v="Meera"/>
    <n v="5"/>
    <n v="22552"/>
    <n v="112760"/>
    <n v="81853.89"/>
  </r>
  <r>
    <n v="2385"/>
    <d v="2024-05-27T00:00:00"/>
    <x v="5"/>
    <s v="Bracelets"/>
    <s v="Bangle"/>
    <s v="Gold"/>
    <s v="Meera"/>
    <n v="3"/>
    <n v="46393"/>
    <n v="139179"/>
    <n v="100291.1"/>
  </r>
  <r>
    <n v="2386"/>
    <d v="2024-07-15T00:00:00"/>
    <x v="4"/>
    <s v="Pendants"/>
    <s v="Pendant"/>
    <s v="Gold"/>
    <s v="Arjun"/>
    <n v="3"/>
    <n v="8886"/>
    <n v="26658"/>
    <n v="21524.080000000002"/>
  </r>
  <r>
    <n v="2387"/>
    <d v="2024-06-02T00:00:00"/>
    <x v="2"/>
    <s v="Bracelets"/>
    <s v="Bangle"/>
    <s v="Gold"/>
    <s v="Meera"/>
    <n v="2"/>
    <n v="78369"/>
    <n v="156738"/>
    <n v="111410.4"/>
  </r>
  <r>
    <n v="2388"/>
    <d v="2024-07-12T00:00:00"/>
    <x v="2"/>
    <s v="Necklaces"/>
    <s v="Gold Necklace"/>
    <s v="Gold"/>
    <s v="Arjun"/>
    <n v="5"/>
    <n v="38400"/>
    <n v="192000"/>
    <n v="128176.5"/>
  </r>
  <r>
    <n v="2389"/>
    <d v="2024-05-04T00:00:00"/>
    <x v="1"/>
    <s v="Earrings"/>
    <s v="Diamond Earrings"/>
    <s v="Diamond"/>
    <s v="Arjun"/>
    <n v="3"/>
    <n v="34779"/>
    <n v="104337"/>
    <n v="88104.68"/>
  </r>
  <r>
    <n v="2390"/>
    <d v="2024-05-11T00:00:00"/>
    <x v="3"/>
    <s v="Rings"/>
    <s v="Gold Ring"/>
    <s v="Gold"/>
    <s v="Aisha"/>
    <n v="5"/>
    <n v="73187"/>
    <n v="365935"/>
    <n v="259800.6"/>
  </r>
  <r>
    <n v="2391"/>
    <d v="2024-10-02T00:00:00"/>
    <x v="6"/>
    <s v="Pendants"/>
    <s v="Pendant"/>
    <s v="Gold"/>
    <s v="Karan"/>
    <n v="5"/>
    <n v="65299"/>
    <n v="326495"/>
    <n v="246010.58"/>
  </r>
  <r>
    <n v="2392"/>
    <d v="2024-08-08T00:00:00"/>
    <x v="5"/>
    <s v="Pendants"/>
    <s v="Pendant"/>
    <s v="Gold"/>
    <s v="Nisha"/>
    <n v="4"/>
    <n v="68849"/>
    <n v="275396"/>
    <n v="198709.89"/>
  </r>
  <r>
    <n v="2393"/>
    <d v="2024-08-19T00:00:00"/>
    <x v="5"/>
    <s v="Anklets"/>
    <s v="Anklet"/>
    <s v="Silver"/>
    <s v="Karan"/>
    <n v="1"/>
    <n v="16948"/>
    <n v="16948"/>
    <n v="12796.58"/>
  </r>
  <r>
    <n v="2394"/>
    <d v="2024-09-13T00:00:00"/>
    <x v="2"/>
    <s v="Rings"/>
    <s v="Diamond Ring"/>
    <s v="Diamond"/>
    <s v="Karan"/>
    <n v="4"/>
    <n v="28213"/>
    <n v="112852"/>
    <n v="93212.03"/>
  </r>
  <r>
    <n v="2395"/>
    <d v="2024-08-13T00:00:00"/>
    <x v="2"/>
    <s v="Bracelets"/>
    <s v="Bracelet"/>
    <s v="Gold"/>
    <s v="Meera"/>
    <n v="5"/>
    <n v="52994"/>
    <n v="264970"/>
    <n v="208879.99"/>
  </r>
  <r>
    <n v="2396"/>
    <d v="2024-06-11T00:00:00"/>
    <x v="0"/>
    <s v="Rings"/>
    <s v="Diamond Ring"/>
    <s v="Diamond"/>
    <s v="Karan"/>
    <n v="3"/>
    <n v="17841"/>
    <n v="53523"/>
    <n v="43632.26"/>
  </r>
  <r>
    <n v="2397"/>
    <d v="2024-12-01T00:00:00"/>
    <x v="0"/>
    <s v="Pendants"/>
    <s v="Pendant"/>
    <s v="Gold"/>
    <s v="Aisha"/>
    <n v="3"/>
    <n v="53004"/>
    <n v="159012"/>
    <n v="129453.41"/>
  </r>
  <r>
    <n v="2398"/>
    <d v="2024-03-21T00:00:00"/>
    <x v="2"/>
    <s v="Pendants"/>
    <s v="Pendant"/>
    <s v="Gold"/>
    <s v="Nisha"/>
    <n v="5"/>
    <n v="46001"/>
    <n v="230005"/>
    <n v="187047.55"/>
  </r>
  <r>
    <n v="2399"/>
    <d v="2024-07-30T00:00:00"/>
    <x v="4"/>
    <s v="Necklaces"/>
    <s v="Diamond Necklace"/>
    <s v="Diamond"/>
    <s v="Rohan"/>
    <n v="2"/>
    <n v="15886"/>
    <n v="31772"/>
    <n v="24655.7"/>
  </r>
  <r>
    <n v="2400"/>
    <d v="2024-10-18T00:00:00"/>
    <x v="3"/>
    <s v="Anklets"/>
    <s v="Anklet"/>
    <s v="Silver"/>
    <s v="Karan"/>
    <n v="1"/>
    <n v="61925"/>
    <n v="61925"/>
    <n v="40384.19"/>
  </r>
  <r>
    <n v="2401"/>
    <d v="2024-12-19T00:00:00"/>
    <x v="1"/>
    <s v="Rings"/>
    <s v="Gold Ring"/>
    <s v="Gold"/>
    <s v="Nisha"/>
    <n v="5"/>
    <n v="8512"/>
    <n v="42560"/>
    <n v="35469.78"/>
  </r>
  <r>
    <n v="2402"/>
    <d v="2024-10-27T00:00:00"/>
    <x v="6"/>
    <s v="Bracelets"/>
    <s v="Bracelet"/>
    <s v="Gold"/>
    <s v="Aisha"/>
    <n v="1"/>
    <n v="11870"/>
    <n v="11870"/>
    <n v="8182.35"/>
  </r>
  <r>
    <n v="2403"/>
    <d v="2024-10-17T00:00:00"/>
    <x v="6"/>
    <s v="Bracelets"/>
    <s v="Bangle"/>
    <s v="Gold"/>
    <s v="Arjun"/>
    <n v="3"/>
    <n v="77663"/>
    <n v="232989"/>
    <n v="175409.77"/>
  </r>
  <r>
    <n v="2404"/>
    <d v="2024-07-29T00:00:00"/>
    <x v="4"/>
    <s v="Necklaces"/>
    <s v="Gold Necklace"/>
    <s v="Gold"/>
    <s v="Rohan"/>
    <n v="5"/>
    <n v="23925"/>
    <n v="119625"/>
    <n v="81233.84"/>
  </r>
  <r>
    <n v="2405"/>
    <d v="2024-02-24T00:00:00"/>
    <x v="6"/>
    <s v="Pendants"/>
    <s v="Pendant"/>
    <s v="Gold"/>
    <s v="Arjun"/>
    <n v="1"/>
    <n v="21120"/>
    <n v="21120"/>
    <n v="14049.57"/>
  </r>
  <r>
    <n v="2406"/>
    <d v="2024-11-09T00:00:00"/>
    <x v="2"/>
    <s v="Pendants"/>
    <s v="Pendant"/>
    <s v="Gold"/>
    <s v="Meera"/>
    <n v="4"/>
    <n v="16141"/>
    <n v="64564"/>
    <n v="50361.21"/>
  </r>
  <r>
    <n v="2407"/>
    <d v="2024-05-01T00:00:00"/>
    <x v="1"/>
    <s v="Anklets"/>
    <s v="Anklet"/>
    <s v="Silver"/>
    <s v="Rohan"/>
    <n v="3"/>
    <n v="44103"/>
    <n v="132309"/>
    <n v="90483.87"/>
  </r>
  <r>
    <n v="2408"/>
    <d v="2024-10-25T00:00:00"/>
    <x v="5"/>
    <s v="Earrings"/>
    <s v="Gold Earrings"/>
    <s v="Gold"/>
    <s v="Aisha"/>
    <n v="1"/>
    <n v="53730"/>
    <n v="53730"/>
    <n v="36984"/>
  </r>
  <r>
    <n v="2409"/>
    <d v="2024-01-28T00:00:00"/>
    <x v="2"/>
    <s v="Anklets"/>
    <s v="Anklet"/>
    <s v="Silver"/>
    <s v="Aisha"/>
    <n v="2"/>
    <n v="59903"/>
    <n v="119806"/>
    <n v="91835.18"/>
  </r>
  <r>
    <n v="2410"/>
    <d v="2024-11-13T00:00:00"/>
    <x v="2"/>
    <s v="Rings"/>
    <s v="Gold Ring"/>
    <s v="Gold"/>
    <s v="Aisha"/>
    <n v="2"/>
    <n v="40680"/>
    <n v="81360"/>
    <n v="56511.02"/>
  </r>
  <r>
    <n v="2411"/>
    <d v="2024-06-10T00:00:00"/>
    <x v="4"/>
    <s v="Necklaces"/>
    <s v="Gold Necklace"/>
    <s v="Gold"/>
    <s v="Rohan"/>
    <n v="1"/>
    <n v="67695"/>
    <n v="67695"/>
    <n v="48113.23"/>
  </r>
  <r>
    <n v="2412"/>
    <d v="2024-02-04T00:00:00"/>
    <x v="1"/>
    <s v="Anklets"/>
    <s v="Anklet"/>
    <s v="Silver"/>
    <s v="Meera"/>
    <n v="2"/>
    <n v="59091"/>
    <n v="118182"/>
    <n v="92770.74"/>
  </r>
  <r>
    <n v="2413"/>
    <d v="2024-06-07T00:00:00"/>
    <x v="0"/>
    <s v="Anklets"/>
    <s v="Anklet"/>
    <s v="Silver"/>
    <s v="Meera"/>
    <n v="4"/>
    <n v="71489"/>
    <n v="285956"/>
    <n v="187154"/>
  </r>
  <r>
    <n v="2414"/>
    <d v="2024-03-28T00:00:00"/>
    <x v="3"/>
    <s v="Necklaces"/>
    <s v="Diamond Necklace"/>
    <s v="Diamond"/>
    <s v="Rohan"/>
    <n v="3"/>
    <n v="57677"/>
    <n v="173031"/>
    <n v="118926.03"/>
  </r>
  <r>
    <n v="2415"/>
    <d v="2024-07-04T00:00:00"/>
    <x v="2"/>
    <s v="Earrings"/>
    <s v="Gold Earrings"/>
    <s v="Gold"/>
    <s v="Arjun"/>
    <n v="1"/>
    <n v="51911"/>
    <n v="51911"/>
    <n v="39283.65"/>
  </r>
  <r>
    <n v="2416"/>
    <d v="2024-11-29T00:00:00"/>
    <x v="1"/>
    <s v="Bracelets"/>
    <s v="Bracelet"/>
    <s v="Gold"/>
    <s v="Meera"/>
    <n v="1"/>
    <n v="24159"/>
    <n v="24159"/>
    <n v="17743.71"/>
  </r>
  <r>
    <n v="2417"/>
    <d v="2024-07-17T00:00:00"/>
    <x v="4"/>
    <s v="Earrings"/>
    <s v="Diamond Earrings"/>
    <s v="Diamond"/>
    <s v="Rohan"/>
    <n v="2"/>
    <n v="69212"/>
    <n v="138424"/>
    <n v="97826.65"/>
  </r>
  <r>
    <n v="2418"/>
    <d v="2024-05-22T00:00:00"/>
    <x v="2"/>
    <s v="Necklaces"/>
    <s v="Diamond Necklace"/>
    <s v="Diamond"/>
    <s v="Aisha"/>
    <n v="1"/>
    <n v="52750"/>
    <n v="52750"/>
    <n v="42778.89"/>
  </r>
  <r>
    <n v="2419"/>
    <d v="2024-02-17T00:00:00"/>
    <x v="5"/>
    <s v="Necklaces"/>
    <s v="Diamond Necklace"/>
    <s v="Diamond"/>
    <s v="Rohan"/>
    <n v="2"/>
    <n v="43345"/>
    <n v="86690"/>
    <n v="65795.39"/>
  </r>
  <r>
    <n v="2420"/>
    <d v="2024-08-27T00:00:00"/>
    <x v="4"/>
    <s v="Necklaces"/>
    <s v="Gold Necklace"/>
    <s v="Gold"/>
    <s v="Meera"/>
    <n v="2"/>
    <n v="28869"/>
    <n v="57738"/>
    <n v="41778.26"/>
  </r>
  <r>
    <n v="2421"/>
    <d v="2024-07-11T00:00:00"/>
    <x v="5"/>
    <s v="Necklaces"/>
    <s v="Diamond Necklace"/>
    <s v="Diamond"/>
    <s v="Meera"/>
    <n v="5"/>
    <n v="35270"/>
    <n v="176350"/>
    <n v="125111.64"/>
  </r>
  <r>
    <n v="2422"/>
    <d v="2024-04-26T00:00:00"/>
    <x v="4"/>
    <s v="Bracelets"/>
    <s v="Bangle"/>
    <s v="Gold"/>
    <s v="Rohan"/>
    <n v="4"/>
    <n v="25163"/>
    <n v="100652"/>
    <n v="84388.39"/>
  </r>
  <r>
    <n v="2423"/>
    <d v="2024-10-27T00:00:00"/>
    <x v="4"/>
    <s v="Earrings"/>
    <s v="Gold Earrings"/>
    <s v="Gold"/>
    <s v="Meera"/>
    <n v="3"/>
    <n v="78079"/>
    <n v="234237"/>
    <n v="163790.25"/>
  </r>
  <r>
    <n v="2424"/>
    <d v="2024-03-05T00:00:00"/>
    <x v="4"/>
    <s v="Anklets"/>
    <s v="Anklet"/>
    <s v="Silver"/>
    <s v="Rohan"/>
    <n v="1"/>
    <n v="75243"/>
    <n v="75243"/>
    <n v="50284.44"/>
  </r>
  <r>
    <n v="2425"/>
    <d v="2024-01-15T00:00:00"/>
    <x v="5"/>
    <s v="Earrings"/>
    <s v="Gold Earrings"/>
    <s v="Gold"/>
    <s v="Meera"/>
    <n v="5"/>
    <n v="27014"/>
    <n v="135070"/>
    <n v="96191.15"/>
  </r>
  <r>
    <n v="2426"/>
    <d v="2024-12-21T00:00:00"/>
    <x v="5"/>
    <s v="Bracelets"/>
    <s v="Bracelet"/>
    <s v="Gold"/>
    <s v="Aisha"/>
    <n v="2"/>
    <n v="38351"/>
    <n v="76702"/>
    <n v="54781.14"/>
  </r>
  <r>
    <n v="2427"/>
    <d v="2024-07-04T00:00:00"/>
    <x v="3"/>
    <s v="Rings"/>
    <s v="Diamond Ring"/>
    <s v="Diamond"/>
    <s v="Arjun"/>
    <n v="5"/>
    <n v="46922"/>
    <n v="234610"/>
    <n v="161544.20000000001"/>
  </r>
  <r>
    <n v="2428"/>
    <d v="2024-05-27T00:00:00"/>
    <x v="3"/>
    <s v="Earrings"/>
    <s v="Gold Earrings"/>
    <s v="Gold"/>
    <s v="Rohan"/>
    <n v="2"/>
    <n v="60294"/>
    <n v="120588"/>
    <n v="85192.14"/>
  </r>
  <r>
    <n v="2429"/>
    <d v="2024-11-17T00:00:00"/>
    <x v="6"/>
    <s v="Bracelets"/>
    <s v="Bracelet"/>
    <s v="Gold"/>
    <s v="Meera"/>
    <n v="2"/>
    <n v="44244"/>
    <n v="88488"/>
    <n v="60638.94"/>
  </r>
  <r>
    <n v="2430"/>
    <d v="2024-12-19T00:00:00"/>
    <x v="5"/>
    <s v="Earrings"/>
    <s v="Diamond Earrings"/>
    <s v="Diamond"/>
    <s v="Nisha"/>
    <n v="3"/>
    <n v="62076"/>
    <n v="186228"/>
    <n v="121989.16"/>
  </r>
  <r>
    <n v="2431"/>
    <d v="2024-06-29T00:00:00"/>
    <x v="0"/>
    <s v="Bracelets"/>
    <s v="Bangle"/>
    <s v="Gold"/>
    <s v="Meera"/>
    <n v="1"/>
    <n v="31810"/>
    <n v="31810"/>
    <n v="22530.87"/>
  </r>
  <r>
    <n v="2432"/>
    <d v="2024-04-22T00:00:00"/>
    <x v="4"/>
    <s v="Earrings"/>
    <s v="Gold Earrings"/>
    <s v="Gold"/>
    <s v="Nisha"/>
    <n v="1"/>
    <n v="61039"/>
    <n v="61039"/>
    <n v="40163.64"/>
  </r>
  <r>
    <n v="2433"/>
    <d v="2024-06-04T00:00:00"/>
    <x v="2"/>
    <s v="Necklaces"/>
    <s v="Gold Necklace"/>
    <s v="Gold"/>
    <s v="Rohan"/>
    <n v="2"/>
    <n v="57904"/>
    <n v="115808"/>
    <n v="92375.95"/>
  </r>
  <r>
    <n v="2434"/>
    <d v="2024-11-22T00:00:00"/>
    <x v="1"/>
    <s v="Pendants"/>
    <s v="Pendant"/>
    <s v="Gold"/>
    <s v="Nisha"/>
    <n v="2"/>
    <n v="37839"/>
    <n v="75678"/>
    <n v="57820.49"/>
  </r>
  <r>
    <n v="2435"/>
    <d v="2024-12-09T00:00:00"/>
    <x v="1"/>
    <s v="Pendants"/>
    <s v="Pendant"/>
    <s v="Gold"/>
    <s v="Meera"/>
    <n v="5"/>
    <n v="53749"/>
    <n v="268745"/>
    <n v="224975.83"/>
  </r>
  <r>
    <n v="2436"/>
    <d v="2024-05-26T00:00:00"/>
    <x v="6"/>
    <s v="Rings"/>
    <s v="Diamond Ring"/>
    <s v="Diamond"/>
    <s v="Nisha"/>
    <n v="1"/>
    <n v="14205"/>
    <n v="14205"/>
    <n v="12000.75"/>
  </r>
  <r>
    <n v="2437"/>
    <d v="2024-04-17T00:00:00"/>
    <x v="3"/>
    <s v="Rings"/>
    <s v="Diamond Ring"/>
    <s v="Diamond"/>
    <s v="Karan"/>
    <n v="3"/>
    <n v="19290"/>
    <n v="57870"/>
    <n v="42444.59"/>
  </r>
  <r>
    <n v="2438"/>
    <d v="2024-04-23T00:00:00"/>
    <x v="5"/>
    <s v="Bracelets"/>
    <s v="Bracelet"/>
    <s v="Gold"/>
    <s v="Arjun"/>
    <n v="3"/>
    <n v="77117"/>
    <n v="231351"/>
    <n v="154539.39000000001"/>
  </r>
  <r>
    <n v="2439"/>
    <d v="2024-12-20T00:00:00"/>
    <x v="2"/>
    <s v="Bracelets"/>
    <s v="Bracelet"/>
    <s v="Gold"/>
    <s v="Karan"/>
    <n v="5"/>
    <n v="67346"/>
    <n v="336730"/>
    <n v="253130.6"/>
  </r>
  <r>
    <n v="2440"/>
    <d v="2024-09-19T00:00:00"/>
    <x v="2"/>
    <s v="Necklaces"/>
    <s v="Diamond Necklace"/>
    <s v="Diamond"/>
    <s v="Nisha"/>
    <n v="2"/>
    <n v="72161"/>
    <n v="144322"/>
    <n v="115801.73"/>
  </r>
  <r>
    <n v="2441"/>
    <d v="2024-05-13T00:00:00"/>
    <x v="5"/>
    <s v="Rings"/>
    <s v="Gold Ring"/>
    <s v="Gold"/>
    <s v="Arjun"/>
    <n v="2"/>
    <n v="79618"/>
    <n v="159236"/>
    <n v="108716.67"/>
  </r>
  <r>
    <n v="2442"/>
    <d v="2024-05-07T00:00:00"/>
    <x v="4"/>
    <s v="Necklaces"/>
    <s v="Diamond Necklace"/>
    <s v="Diamond"/>
    <s v="Karan"/>
    <n v="1"/>
    <n v="30026"/>
    <n v="30026"/>
    <n v="21665.72"/>
  </r>
  <r>
    <n v="2443"/>
    <d v="2024-11-21T00:00:00"/>
    <x v="3"/>
    <s v="Bracelets"/>
    <s v="Bracelet"/>
    <s v="Gold"/>
    <s v="Rohan"/>
    <n v="3"/>
    <n v="25981"/>
    <n v="77943"/>
    <n v="52791.62"/>
  </r>
  <r>
    <n v="2444"/>
    <d v="2024-05-01T00:00:00"/>
    <x v="5"/>
    <s v="Bracelets"/>
    <s v="Bangle"/>
    <s v="Gold"/>
    <s v="Meera"/>
    <n v="2"/>
    <n v="8770"/>
    <n v="17540"/>
    <n v="13208.96"/>
  </r>
  <r>
    <n v="2445"/>
    <d v="2024-06-28T00:00:00"/>
    <x v="0"/>
    <s v="Bracelets"/>
    <s v="Bangle"/>
    <s v="Gold"/>
    <s v="Nisha"/>
    <n v="3"/>
    <n v="25484"/>
    <n v="76452"/>
    <n v="63220.99"/>
  </r>
  <r>
    <n v="2446"/>
    <d v="2024-05-03T00:00:00"/>
    <x v="4"/>
    <s v="Necklaces"/>
    <s v="Gold Necklace"/>
    <s v="Gold"/>
    <s v="Arjun"/>
    <n v="3"/>
    <n v="23462"/>
    <n v="70386"/>
    <n v="53468.87"/>
  </r>
  <r>
    <n v="2447"/>
    <d v="2024-03-20T00:00:00"/>
    <x v="5"/>
    <s v="Necklaces"/>
    <s v="Gold Necklace"/>
    <s v="Gold"/>
    <s v="Nisha"/>
    <n v="5"/>
    <n v="68447"/>
    <n v="342235"/>
    <n v="279913.03999999998"/>
  </r>
  <r>
    <n v="2448"/>
    <d v="2024-02-28T00:00:00"/>
    <x v="6"/>
    <s v="Bracelets"/>
    <s v="Bracelet"/>
    <s v="Gold"/>
    <s v="Rohan"/>
    <n v="3"/>
    <n v="9621"/>
    <n v="28863"/>
    <n v="20841.86"/>
  </r>
  <r>
    <n v="2449"/>
    <d v="2024-05-23T00:00:00"/>
    <x v="3"/>
    <s v="Necklaces"/>
    <s v="Diamond Necklace"/>
    <s v="Diamond"/>
    <s v="Aisha"/>
    <n v="3"/>
    <n v="33836"/>
    <n v="101508"/>
    <n v="68225.460000000006"/>
  </r>
  <r>
    <n v="2450"/>
    <d v="2024-03-23T00:00:00"/>
    <x v="2"/>
    <s v="Earrings"/>
    <s v="Gold Earrings"/>
    <s v="Gold"/>
    <s v="Aisha"/>
    <n v="3"/>
    <n v="66336"/>
    <n v="199008"/>
    <n v="148008.6"/>
  </r>
  <r>
    <n v="2451"/>
    <d v="2024-10-12T00:00:00"/>
    <x v="1"/>
    <s v="Earrings"/>
    <s v="Diamond Earrings"/>
    <s v="Diamond"/>
    <s v="Rohan"/>
    <n v="1"/>
    <n v="13974"/>
    <n v="13974"/>
    <n v="9113.32"/>
  </r>
  <r>
    <n v="2452"/>
    <d v="2024-06-18T00:00:00"/>
    <x v="3"/>
    <s v="Bracelets"/>
    <s v="Bangle"/>
    <s v="Gold"/>
    <s v="Nisha"/>
    <n v="5"/>
    <n v="42659"/>
    <n v="213295"/>
    <n v="143283.16"/>
  </r>
  <r>
    <n v="2453"/>
    <d v="2024-04-07T00:00:00"/>
    <x v="2"/>
    <s v="Bracelets"/>
    <s v="Bangle"/>
    <s v="Gold"/>
    <s v="Meera"/>
    <n v="5"/>
    <n v="50180"/>
    <n v="250900"/>
    <n v="163501.6"/>
  </r>
  <r>
    <n v="2454"/>
    <d v="2024-11-17T00:00:00"/>
    <x v="5"/>
    <s v="Rings"/>
    <s v="Diamond Ring"/>
    <s v="Diamond"/>
    <s v="Karan"/>
    <n v="5"/>
    <n v="40953"/>
    <n v="204765"/>
    <n v="159842.54999999999"/>
  </r>
  <r>
    <n v="2455"/>
    <d v="2024-01-15T00:00:00"/>
    <x v="0"/>
    <s v="Rings"/>
    <s v="Diamond Ring"/>
    <s v="Diamond"/>
    <s v="Nisha"/>
    <n v="1"/>
    <n v="59809"/>
    <n v="59809"/>
    <n v="48918.720000000001"/>
  </r>
  <r>
    <n v="2456"/>
    <d v="2024-11-22T00:00:00"/>
    <x v="1"/>
    <s v="Earrings"/>
    <s v="Gold Earrings"/>
    <s v="Gold"/>
    <s v="Rohan"/>
    <n v="5"/>
    <n v="30080"/>
    <n v="150400"/>
    <n v="100833.49"/>
  </r>
  <r>
    <n v="2457"/>
    <d v="2024-06-16T00:00:00"/>
    <x v="5"/>
    <s v="Earrings"/>
    <s v="Gold Earrings"/>
    <s v="Gold"/>
    <s v="Arjun"/>
    <n v="4"/>
    <n v="32188"/>
    <n v="128752"/>
    <n v="100357.16"/>
  </r>
  <r>
    <n v="2458"/>
    <d v="2024-07-07T00:00:00"/>
    <x v="1"/>
    <s v="Earrings"/>
    <s v="Diamond Earrings"/>
    <s v="Diamond"/>
    <s v="Rohan"/>
    <n v="2"/>
    <n v="56401"/>
    <n v="112802"/>
    <n v="92222.87"/>
  </r>
  <r>
    <n v="2459"/>
    <d v="2024-01-22T00:00:00"/>
    <x v="0"/>
    <s v="Earrings"/>
    <s v="Gold Earrings"/>
    <s v="Gold"/>
    <s v="Aisha"/>
    <n v="1"/>
    <n v="60851"/>
    <n v="60851"/>
    <n v="50569.56"/>
  </r>
  <r>
    <n v="2460"/>
    <d v="2024-09-12T00:00:00"/>
    <x v="2"/>
    <s v="Necklaces"/>
    <s v="Diamond Necklace"/>
    <s v="Diamond"/>
    <s v="Meera"/>
    <n v="2"/>
    <n v="47265"/>
    <n v="94530"/>
    <n v="72837.73"/>
  </r>
  <r>
    <n v="2461"/>
    <d v="2024-04-26T00:00:00"/>
    <x v="0"/>
    <s v="Rings"/>
    <s v="Diamond Ring"/>
    <s v="Diamond"/>
    <s v="Nisha"/>
    <n v="2"/>
    <n v="26127"/>
    <n v="52254"/>
    <n v="38596.769999999997"/>
  </r>
  <r>
    <n v="2462"/>
    <d v="2024-08-13T00:00:00"/>
    <x v="3"/>
    <s v="Bracelets"/>
    <s v="Bracelet"/>
    <s v="Gold"/>
    <s v="Aisha"/>
    <n v="4"/>
    <n v="33010"/>
    <n v="132040"/>
    <n v="91590.21"/>
  </r>
  <r>
    <n v="2463"/>
    <d v="2024-11-08T00:00:00"/>
    <x v="3"/>
    <s v="Earrings"/>
    <s v="Diamond Earrings"/>
    <s v="Diamond"/>
    <s v="Aisha"/>
    <n v="5"/>
    <n v="63763"/>
    <n v="318815"/>
    <n v="216358.2"/>
  </r>
  <r>
    <n v="2464"/>
    <d v="2024-09-20T00:00:00"/>
    <x v="5"/>
    <s v="Rings"/>
    <s v="Diamond Ring"/>
    <s v="Diamond"/>
    <s v="Aisha"/>
    <n v="4"/>
    <n v="52389"/>
    <n v="209556"/>
    <n v="138839.98000000001"/>
  </r>
  <r>
    <n v="2465"/>
    <d v="2024-03-25T00:00:00"/>
    <x v="5"/>
    <s v="Rings"/>
    <s v="Gold Ring"/>
    <s v="Gold"/>
    <s v="Rohan"/>
    <n v="4"/>
    <n v="46763"/>
    <n v="187052"/>
    <n v="121740.68"/>
  </r>
  <r>
    <n v="2466"/>
    <d v="2024-10-17T00:00:00"/>
    <x v="5"/>
    <s v="Anklets"/>
    <s v="Anklet"/>
    <s v="Silver"/>
    <s v="Karan"/>
    <n v="2"/>
    <n v="69451"/>
    <n v="138902"/>
    <n v="92648.8"/>
  </r>
  <r>
    <n v="2467"/>
    <d v="2024-08-07T00:00:00"/>
    <x v="4"/>
    <s v="Earrings"/>
    <s v="Diamond Earrings"/>
    <s v="Diamond"/>
    <s v="Meera"/>
    <n v="5"/>
    <n v="28232"/>
    <n v="141160"/>
    <n v="119262.39"/>
  </r>
  <r>
    <n v="2468"/>
    <d v="2024-01-31T00:00:00"/>
    <x v="4"/>
    <s v="Anklets"/>
    <s v="Anklet"/>
    <s v="Silver"/>
    <s v="Aisha"/>
    <n v="3"/>
    <n v="46933"/>
    <n v="140799"/>
    <n v="107430.29"/>
  </r>
  <r>
    <n v="2469"/>
    <d v="2024-12-02T00:00:00"/>
    <x v="1"/>
    <s v="Bracelets"/>
    <s v="Bracelet"/>
    <s v="Gold"/>
    <s v="Meera"/>
    <n v="2"/>
    <n v="47231"/>
    <n v="94462"/>
    <n v="77747.19"/>
  </r>
  <r>
    <n v="2470"/>
    <d v="2024-04-06T00:00:00"/>
    <x v="5"/>
    <s v="Pendants"/>
    <s v="Pendant"/>
    <s v="Gold"/>
    <s v="Aisha"/>
    <n v="2"/>
    <n v="66634"/>
    <n v="133268"/>
    <n v="105051.41"/>
  </r>
  <r>
    <n v="2471"/>
    <d v="2024-07-09T00:00:00"/>
    <x v="5"/>
    <s v="Necklaces"/>
    <s v="Gold Necklace"/>
    <s v="Gold"/>
    <s v="Arjun"/>
    <n v="5"/>
    <n v="62575"/>
    <n v="312875"/>
    <n v="225895.83"/>
  </r>
  <r>
    <n v="2472"/>
    <d v="2024-07-21T00:00:00"/>
    <x v="4"/>
    <s v="Necklaces"/>
    <s v="Diamond Necklace"/>
    <s v="Diamond"/>
    <s v="Meera"/>
    <n v="3"/>
    <n v="22975"/>
    <n v="68925"/>
    <n v="47933.82"/>
  </r>
  <r>
    <n v="2473"/>
    <d v="2024-02-27T00:00:00"/>
    <x v="4"/>
    <s v="Necklaces"/>
    <s v="Diamond Necklace"/>
    <s v="Diamond"/>
    <s v="Nisha"/>
    <n v="2"/>
    <n v="41225"/>
    <n v="82450"/>
    <n v="64305.63"/>
  </r>
  <r>
    <n v="2474"/>
    <d v="2024-05-08T00:00:00"/>
    <x v="4"/>
    <s v="Necklaces"/>
    <s v="Diamond Necklace"/>
    <s v="Diamond"/>
    <s v="Nisha"/>
    <n v="4"/>
    <n v="37752"/>
    <n v="151008"/>
    <n v="114887.53"/>
  </r>
  <r>
    <n v="2475"/>
    <d v="2024-12-22T00:00:00"/>
    <x v="4"/>
    <s v="Necklaces"/>
    <s v="Diamond Necklace"/>
    <s v="Diamond"/>
    <s v="Arjun"/>
    <n v="1"/>
    <n v="75264"/>
    <n v="75264"/>
    <n v="62608.41"/>
  </r>
  <r>
    <n v="2476"/>
    <d v="2024-12-13T00:00:00"/>
    <x v="3"/>
    <s v="Anklets"/>
    <s v="Anklet"/>
    <s v="Silver"/>
    <s v="Meera"/>
    <n v="1"/>
    <n v="65609"/>
    <n v="65609"/>
    <n v="44407.91"/>
  </r>
  <r>
    <n v="2477"/>
    <d v="2024-12-31T00:00:00"/>
    <x v="4"/>
    <s v="Pendants"/>
    <s v="Pendant"/>
    <s v="Gold"/>
    <s v="Arjun"/>
    <n v="1"/>
    <n v="75522"/>
    <n v="75522"/>
    <n v="50631.360000000001"/>
  </r>
  <r>
    <n v="2478"/>
    <d v="2024-04-08T00:00:00"/>
    <x v="4"/>
    <s v="Bracelets"/>
    <s v="Bracelet"/>
    <s v="Gold"/>
    <s v="Rohan"/>
    <n v="5"/>
    <n v="70273"/>
    <n v="351365"/>
    <n v="282847.42"/>
  </r>
  <r>
    <n v="2479"/>
    <d v="2024-01-30T00:00:00"/>
    <x v="1"/>
    <s v="Necklaces"/>
    <s v="Gold Necklace"/>
    <s v="Gold"/>
    <s v="Arjun"/>
    <n v="4"/>
    <n v="39051"/>
    <n v="156204"/>
    <n v="103007.86"/>
  </r>
  <r>
    <n v="2480"/>
    <d v="2024-10-31T00:00:00"/>
    <x v="3"/>
    <s v="Rings"/>
    <s v="Gold Ring"/>
    <s v="Gold"/>
    <s v="Nisha"/>
    <n v="2"/>
    <n v="68254"/>
    <n v="136508"/>
    <n v="96918.77"/>
  </r>
  <r>
    <n v="2481"/>
    <d v="2024-11-14T00:00:00"/>
    <x v="2"/>
    <s v="Necklaces"/>
    <s v="Gold Necklace"/>
    <s v="Gold"/>
    <s v="Aisha"/>
    <n v="2"/>
    <n v="23035"/>
    <n v="46070"/>
    <n v="38399.39"/>
  </r>
  <r>
    <n v="2482"/>
    <d v="2024-06-23T00:00:00"/>
    <x v="0"/>
    <s v="Earrings"/>
    <s v="Diamond Earrings"/>
    <s v="Diamond"/>
    <s v="Karan"/>
    <n v="1"/>
    <n v="41504"/>
    <n v="41504"/>
    <n v="27996.29"/>
  </r>
  <r>
    <n v="2483"/>
    <d v="2024-09-25T00:00:00"/>
    <x v="4"/>
    <s v="Earrings"/>
    <s v="Diamond Earrings"/>
    <s v="Diamond"/>
    <s v="Nisha"/>
    <n v="3"/>
    <n v="72092"/>
    <n v="216276"/>
    <n v="142461.16"/>
  </r>
  <r>
    <n v="2484"/>
    <d v="2024-07-01T00:00:00"/>
    <x v="1"/>
    <s v="Anklets"/>
    <s v="Anklet"/>
    <s v="Silver"/>
    <s v="Aisha"/>
    <n v="5"/>
    <n v="50908"/>
    <n v="254540"/>
    <n v="206331.19"/>
  </r>
  <r>
    <n v="2485"/>
    <d v="2024-05-04T00:00:00"/>
    <x v="3"/>
    <s v="Rings"/>
    <s v="Diamond Ring"/>
    <s v="Diamond"/>
    <s v="Nisha"/>
    <n v="3"/>
    <n v="54445"/>
    <n v="163335"/>
    <n v="112477.31"/>
  </r>
  <r>
    <n v="2486"/>
    <d v="2024-08-13T00:00:00"/>
    <x v="3"/>
    <s v="Bracelets"/>
    <s v="Bangle"/>
    <s v="Gold"/>
    <s v="Arjun"/>
    <n v="1"/>
    <n v="10746"/>
    <n v="10746"/>
    <n v="8033.81"/>
  </r>
  <r>
    <n v="2487"/>
    <d v="2024-04-04T00:00:00"/>
    <x v="6"/>
    <s v="Rings"/>
    <s v="Diamond Ring"/>
    <s v="Diamond"/>
    <s v="Karan"/>
    <n v="2"/>
    <n v="46015"/>
    <n v="92030"/>
    <n v="75901.64"/>
  </r>
  <r>
    <n v="2488"/>
    <d v="2024-10-28T00:00:00"/>
    <x v="6"/>
    <s v="Bracelets"/>
    <s v="Bracelet"/>
    <s v="Gold"/>
    <s v="Rohan"/>
    <n v="3"/>
    <n v="78573"/>
    <n v="235719"/>
    <n v="200232.36"/>
  </r>
  <r>
    <n v="2489"/>
    <d v="2024-01-13T00:00:00"/>
    <x v="2"/>
    <s v="Earrings"/>
    <s v="Gold Earrings"/>
    <s v="Gold"/>
    <s v="Aisha"/>
    <n v="3"/>
    <n v="27783"/>
    <n v="83349"/>
    <n v="62297.88"/>
  </r>
  <r>
    <n v="2490"/>
    <d v="2024-01-19T00:00:00"/>
    <x v="6"/>
    <s v="Bracelets"/>
    <s v="Bangle"/>
    <s v="Gold"/>
    <s v="Aisha"/>
    <n v="1"/>
    <n v="31892"/>
    <n v="31892"/>
    <n v="24687.09"/>
  </r>
  <r>
    <n v="2491"/>
    <d v="2024-03-22T00:00:00"/>
    <x v="2"/>
    <s v="Anklets"/>
    <s v="Anklet"/>
    <s v="Silver"/>
    <s v="Meera"/>
    <n v="4"/>
    <n v="59565"/>
    <n v="238260"/>
    <n v="165791.26999999999"/>
  </r>
  <r>
    <n v="2492"/>
    <d v="2024-07-03T00:00:00"/>
    <x v="4"/>
    <s v="Anklets"/>
    <s v="Anklet"/>
    <s v="Silver"/>
    <s v="Aisha"/>
    <n v="3"/>
    <n v="77240"/>
    <n v="231720"/>
    <n v="160642.87"/>
  </r>
  <r>
    <n v="2493"/>
    <d v="2024-01-23T00:00:00"/>
    <x v="4"/>
    <s v="Necklaces"/>
    <s v="Gold Necklace"/>
    <s v="Gold"/>
    <s v="Arjun"/>
    <n v="2"/>
    <n v="30246"/>
    <n v="60492"/>
    <n v="49230.57"/>
  </r>
  <r>
    <n v="2494"/>
    <d v="2024-08-27T00:00:00"/>
    <x v="1"/>
    <s v="Bracelets"/>
    <s v="Bangle"/>
    <s v="Gold"/>
    <s v="Arjun"/>
    <n v="4"/>
    <n v="54357"/>
    <n v="217428"/>
    <n v="154998.32"/>
  </r>
  <r>
    <n v="2495"/>
    <d v="2024-06-19T00:00:00"/>
    <x v="4"/>
    <s v="Earrings"/>
    <s v="Diamond Earrings"/>
    <s v="Diamond"/>
    <s v="Meera"/>
    <n v="2"/>
    <n v="10688"/>
    <n v="21376"/>
    <n v="14957.81"/>
  </r>
  <r>
    <n v="2496"/>
    <d v="2024-03-15T00:00:00"/>
    <x v="3"/>
    <s v="Anklets"/>
    <s v="Anklet"/>
    <s v="Silver"/>
    <s v="Nisha"/>
    <n v="2"/>
    <n v="43738"/>
    <n v="87476"/>
    <n v="63585.1"/>
  </r>
  <r>
    <n v="2497"/>
    <d v="2024-07-01T00:00:00"/>
    <x v="4"/>
    <s v="Rings"/>
    <s v="Diamond Ring"/>
    <s v="Diamond"/>
    <s v="Karan"/>
    <n v="5"/>
    <n v="77225"/>
    <n v="386125"/>
    <n v="296112.46999999997"/>
  </r>
  <r>
    <n v="2498"/>
    <d v="2024-10-14T00:00:00"/>
    <x v="5"/>
    <s v="Necklaces"/>
    <s v="Gold Necklace"/>
    <s v="Gold"/>
    <s v="Aisha"/>
    <n v="1"/>
    <n v="34115"/>
    <n v="34115"/>
    <n v="27457.79"/>
  </r>
  <r>
    <n v="2499"/>
    <d v="2024-07-04T00:00:00"/>
    <x v="5"/>
    <s v="Anklets"/>
    <s v="Anklet"/>
    <s v="Silver"/>
    <s v="Aisha"/>
    <n v="3"/>
    <n v="39200"/>
    <n v="117600"/>
    <n v="96968.5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000"/>
    <x v="0"/>
    <x v="0"/>
    <x v="0"/>
    <x v="0"/>
    <x v="0"/>
    <x v="0"/>
    <n v="1"/>
    <n v="17494"/>
    <n v="17494"/>
    <n v="14244.57"/>
    <n v="3249.43"/>
    <n v="0.18574539842231622"/>
  </r>
  <r>
    <n v="2001"/>
    <x v="1"/>
    <x v="1"/>
    <x v="1"/>
    <x v="1"/>
    <x v="0"/>
    <x v="1"/>
    <n v="5"/>
    <n v="36140"/>
    <n v="180700"/>
    <n v="118810.09"/>
    <n v="61889.91"/>
    <n v="0.34250088544548979"/>
  </r>
  <r>
    <n v="2002"/>
    <x v="2"/>
    <x v="2"/>
    <x v="2"/>
    <x v="2"/>
    <x v="1"/>
    <x v="2"/>
    <n v="1"/>
    <n v="63642"/>
    <n v="63642"/>
    <n v="42119.68"/>
    <n v="21522.32"/>
    <n v="0.33817793281166525"/>
  </r>
  <r>
    <n v="2003"/>
    <x v="3"/>
    <x v="3"/>
    <x v="3"/>
    <x v="3"/>
    <x v="2"/>
    <x v="3"/>
    <n v="5"/>
    <n v="16108"/>
    <n v="80540"/>
    <n v="61646.97"/>
    <n v="18893.03"/>
    <n v="0.2345794636205612"/>
  </r>
  <r>
    <n v="2004"/>
    <x v="4"/>
    <x v="3"/>
    <x v="2"/>
    <x v="2"/>
    <x v="1"/>
    <x v="3"/>
    <n v="5"/>
    <n v="25455"/>
    <n v="127275"/>
    <n v="90100.75"/>
    <n v="37174.25"/>
    <n v="0.29207817717540757"/>
  </r>
  <r>
    <n v="2005"/>
    <x v="5"/>
    <x v="4"/>
    <x v="4"/>
    <x v="4"/>
    <x v="1"/>
    <x v="2"/>
    <n v="3"/>
    <n v="31688"/>
    <n v="95064"/>
    <n v="63750.98"/>
    <n v="31313.02"/>
    <n v="0.32938883278633341"/>
  </r>
  <r>
    <n v="2006"/>
    <x v="6"/>
    <x v="5"/>
    <x v="3"/>
    <x v="3"/>
    <x v="2"/>
    <x v="3"/>
    <n v="1"/>
    <n v="79793"/>
    <n v="79793"/>
    <n v="63229.74"/>
    <n v="16563.259999999998"/>
    <n v="0.20757785770681636"/>
  </r>
  <r>
    <n v="2007"/>
    <x v="7"/>
    <x v="3"/>
    <x v="3"/>
    <x v="3"/>
    <x v="2"/>
    <x v="1"/>
    <n v="4"/>
    <n v="77693"/>
    <n v="310772"/>
    <n v="228578.54"/>
    <n v="82193.460000000006"/>
    <n v="0.26448154917431432"/>
  </r>
  <r>
    <n v="2008"/>
    <x v="8"/>
    <x v="2"/>
    <x v="0"/>
    <x v="0"/>
    <x v="0"/>
    <x v="1"/>
    <n v="3"/>
    <n v="47291"/>
    <n v="141873"/>
    <n v="99266.45"/>
    <n v="42606.55"/>
    <n v="0.3003147180929423"/>
  </r>
  <r>
    <n v="2009"/>
    <x v="9"/>
    <x v="5"/>
    <x v="4"/>
    <x v="4"/>
    <x v="1"/>
    <x v="3"/>
    <n v="5"/>
    <n v="47354"/>
    <n v="236770"/>
    <n v="178770.66"/>
    <n v="57999.34"/>
    <n v="0.24496067914009376"/>
  </r>
  <r>
    <n v="2010"/>
    <x v="10"/>
    <x v="5"/>
    <x v="0"/>
    <x v="0"/>
    <x v="0"/>
    <x v="0"/>
    <n v="5"/>
    <n v="17594"/>
    <n v="87970"/>
    <n v="59257.75"/>
    <n v="28712.25"/>
    <n v="0.32638683642150734"/>
  </r>
  <r>
    <n v="2011"/>
    <x v="11"/>
    <x v="0"/>
    <x v="2"/>
    <x v="2"/>
    <x v="1"/>
    <x v="4"/>
    <n v="4"/>
    <n v="63272"/>
    <n v="253088"/>
    <n v="166491.78"/>
    <n v="86596.22"/>
    <n v="0.34215853774181315"/>
  </r>
  <r>
    <n v="2012"/>
    <x v="12"/>
    <x v="6"/>
    <x v="1"/>
    <x v="1"/>
    <x v="0"/>
    <x v="1"/>
    <n v="3"/>
    <n v="52580"/>
    <n v="157740"/>
    <n v="124466.18"/>
    <n v="33273.82"/>
    <n v="0.21094091543045518"/>
  </r>
  <r>
    <n v="2013"/>
    <x v="13"/>
    <x v="2"/>
    <x v="3"/>
    <x v="3"/>
    <x v="2"/>
    <x v="1"/>
    <n v="1"/>
    <n v="20267"/>
    <n v="20267"/>
    <n v="17002.72"/>
    <n v="3264.28"/>
    <n v="0.16106379829279124"/>
  </r>
  <r>
    <n v="2014"/>
    <x v="14"/>
    <x v="5"/>
    <x v="2"/>
    <x v="5"/>
    <x v="1"/>
    <x v="5"/>
    <n v="1"/>
    <n v="48580"/>
    <n v="48580"/>
    <n v="37864.5"/>
    <n v="10715.5"/>
    <n v="0.22057431041580897"/>
  </r>
  <r>
    <n v="2015"/>
    <x v="15"/>
    <x v="1"/>
    <x v="2"/>
    <x v="5"/>
    <x v="1"/>
    <x v="5"/>
    <n v="3"/>
    <n v="10957"/>
    <n v="32871"/>
    <n v="27550.16"/>
    <n v="5320.84"/>
    <n v="0.16187034163852637"/>
  </r>
  <r>
    <n v="2016"/>
    <x v="16"/>
    <x v="0"/>
    <x v="0"/>
    <x v="0"/>
    <x v="0"/>
    <x v="1"/>
    <n v="4"/>
    <n v="15727"/>
    <n v="62908"/>
    <n v="43635.6"/>
    <n v="19272.400000000001"/>
    <n v="0.30635849176575319"/>
  </r>
  <r>
    <n v="2017"/>
    <x v="17"/>
    <x v="0"/>
    <x v="0"/>
    <x v="6"/>
    <x v="1"/>
    <x v="5"/>
    <n v="4"/>
    <n v="59242"/>
    <n v="236968"/>
    <n v="197480.42"/>
    <n v="39487.58"/>
    <n v="0.16663676108166503"/>
  </r>
  <r>
    <n v="2018"/>
    <x v="18"/>
    <x v="3"/>
    <x v="2"/>
    <x v="5"/>
    <x v="1"/>
    <x v="3"/>
    <n v="4"/>
    <n v="44416"/>
    <n v="177664"/>
    <n v="146870.70000000001"/>
    <n v="30793.3"/>
    <n v="0.17332323937319885"/>
  </r>
  <r>
    <n v="2019"/>
    <x v="19"/>
    <x v="6"/>
    <x v="2"/>
    <x v="2"/>
    <x v="1"/>
    <x v="1"/>
    <n v="4"/>
    <n v="55024"/>
    <n v="220096"/>
    <n v="173115.32"/>
    <n v="46980.68"/>
    <n v="0.21345540127944171"/>
  </r>
  <r>
    <n v="2020"/>
    <x v="20"/>
    <x v="0"/>
    <x v="2"/>
    <x v="2"/>
    <x v="1"/>
    <x v="3"/>
    <n v="2"/>
    <n v="27830"/>
    <n v="55660"/>
    <n v="38761.14"/>
    <n v="16898.86"/>
    <n v="0.30360869565217391"/>
  </r>
  <r>
    <n v="2021"/>
    <x v="21"/>
    <x v="3"/>
    <x v="4"/>
    <x v="7"/>
    <x v="0"/>
    <x v="0"/>
    <n v="2"/>
    <n v="42438"/>
    <n v="84876"/>
    <n v="59955.23"/>
    <n v="24920.77"/>
    <n v="0.2936138602196145"/>
  </r>
  <r>
    <n v="2022"/>
    <x v="22"/>
    <x v="2"/>
    <x v="4"/>
    <x v="4"/>
    <x v="1"/>
    <x v="1"/>
    <n v="5"/>
    <n v="49761"/>
    <n v="248805"/>
    <n v="209150.36"/>
    <n v="39654.639999999999"/>
    <n v="0.15938039830389261"/>
  </r>
  <r>
    <n v="2023"/>
    <x v="23"/>
    <x v="4"/>
    <x v="5"/>
    <x v="8"/>
    <x v="1"/>
    <x v="5"/>
    <n v="1"/>
    <n v="67853"/>
    <n v="67853"/>
    <n v="56311.65"/>
    <n v="11541.35"/>
    <n v="0.17009343728353943"/>
  </r>
  <r>
    <n v="2024"/>
    <x v="24"/>
    <x v="2"/>
    <x v="5"/>
    <x v="8"/>
    <x v="1"/>
    <x v="0"/>
    <n v="4"/>
    <n v="21570"/>
    <n v="86280"/>
    <n v="64391.16"/>
    <n v="21888.84"/>
    <n v="0.25369541029207232"/>
  </r>
  <r>
    <n v="2025"/>
    <x v="25"/>
    <x v="3"/>
    <x v="2"/>
    <x v="2"/>
    <x v="1"/>
    <x v="3"/>
    <n v="2"/>
    <n v="65753"/>
    <n v="131506"/>
    <n v="89747.67"/>
    <n v="41758.33"/>
    <n v="0.31753935181664716"/>
  </r>
  <r>
    <n v="2026"/>
    <x v="26"/>
    <x v="4"/>
    <x v="0"/>
    <x v="0"/>
    <x v="0"/>
    <x v="2"/>
    <n v="1"/>
    <n v="27826"/>
    <n v="27826"/>
    <n v="21073.29"/>
    <n v="6752.71"/>
    <n v="0.24267627398835623"/>
  </r>
  <r>
    <n v="2027"/>
    <x v="27"/>
    <x v="4"/>
    <x v="0"/>
    <x v="0"/>
    <x v="0"/>
    <x v="2"/>
    <n v="2"/>
    <n v="57313"/>
    <n v="114626"/>
    <n v="77912.45"/>
    <n v="36713.550000000003"/>
    <n v="0.32028989932476054"/>
  </r>
  <r>
    <n v="2028"/>
    <x v="28"/>
    <x v="1"/>
    <x v="0"/>
    <x v="6"/>
    <x v="1"/>
    <x v="1"/>
    <n v="4"/>
    <n v="24101"/>
    <n v="96404"/>
    <n v="64886.71"/>
    <n v="31517.29"/>
    <n v="0.32692927679349404"/>
  </r>
  <r>
    <n v="2029"/>
    <x v="29"/>
    <x v="2"/>
    <x v="2"/>
    <x v="5"/>
    <x v="1"/>
    <x v="0"/>
    <n v="3"/>
    <n v="19257"/>
    <n v="57771"/>
    <n v="39216.31"/>
    <n v="18554.689999999999"/>
    <n v="0.32117654186356476"/>
  </r>
  <r>
    <n v="2030"/>
    <x v="30"/>
    <x v="5"/>
    <x v="0"/>
    <x v="0"/>
    <x v="0"/>
    <x v="4"/>
    <n v="2"/>
    <n v="75676"/>
    <n v="151352"/>
    <n v="99077.92"/>
    <n v="52274.080000000002"/>
    <n v="0.34538083408213965"/>
  </r>
  <r>
    <n v="2031"/>
    <x v="31"/>
    <x v="1"/>
    <x v="5"/>
    <x v="8"/>
    <x v="1"/>
    <x v="3"/>
    <n v="5"/>
    <n v="11544"/>
    <n v="57720"/>
    <n v="46270"/>
    <n v="11450"/>
    <n v="0.19837144837144838"/>
  </r>
  <r>
    <n v="2032"/>
    <x v="32"/>
    <x v="5"/>
    <x v="0"/>
    <x v="6"/>
    <x v="1"/>
    <x v="2"/>
    <n v="3"/>
    <n v="75947"/>
    <n v="227841"/>
    <n v="164806.5"/>
    <n v="63034.5"/>
    <n v="0.27666003923788957"/>
  </r>
  <r>
    <n v="2033"/>
    <x v="33"/>
    <x v="1"/>
    <x v="4"/>
    <x v="4"/>
    <x v="1"/>
    <x v="3"/>
    <n v="5"/>
    <n v="73889"/>
    <n v="369445"/>
    <n v="264497.87"/>
    <n v="104947.13"/>
    <n v="0.28406699238046262"/>
  </r>
  <r>
    <n v="2034"/>
    <x v="34"/>
    <x v="4"/>
    <x v="4"/>
    <x v="7"/>
    <x v="0"/>
    <x v="3"/>
    <n v="4"/>
    <n v="37719"/>
    <n v="150876"/>
    <n v="104101.97"/>
    <n v="46774.03"/>
    <n v="0.31001637105967816"/>
  </r>
  <r>
    <n v="2035"/>
    <x v="35"/>
    <x v="1"/>
    <x v="2"/>
    <x v="5"/>
    <x v="1"/>
    <x v="5"/>
    <n v="1"/>
    <n v="44623"/>
    <n v="44623"/>
    <n v="33219.5"/>
    <n v="11403.5"/>
    <n v="0.25555206956054055"/>
  </r>
  <r>
    <n v="2036"/>
    <x v="36"/>
    <x v="5"/>
    <x v="4"/>
    <x v="7"/>
    <x v="0"/>
    <x v="1"/>
    <n v="4"/>
    <n v="53812"/>
    <n v="215248"/>
    <n v="181023.6"/>
    <n v="34224.400000000001"/>
    <n v="0.15899985133427488"/>
  </r>
  <r>
    <n v="2037"/>
    <x v="26"/>
    <x v="3"/>
    <x v="0"/>
    <x v="0"/>
    <x v="0"/>
    <x v="3"/>
    <n v="2"/>
    <n v="69614"/>
    <n v="139228"/>
    <n v="95975.6"/>
    <n v="43252.4"/>
    <n v="0.31065877553365706"/>
  </r>
  <r>
    <n v="2038"/>
    <x v="37"/>
    <x v="2"/>
    <x v="4"/>
    <x v="7"/>
    <x v="0"/>
    <x v="1"/>
    <n v="1"/>
    <n v="70845"/>
    <n v="70845"/>
    <n v="58931.69"/>
    <n v="11913.31"/>
    <n v="0.16816020890676828"/>
  </r>
  <r>
    <n v="2039"/>
    <x v="38"/>
    <x v="6"/>
    <x v="0"/>
    <x v="0"/>
    <x v="0"/>
    <x v="5"/>
    <n v="1"/>
    <n v="58926"/>
    <n v="58926"/>
    <n v="47521.5"/>
    <n v="11404.5"/>
    <n v="0.19353935444455758"/>
  </r>
  <r>
    <n v="2040"/>
    <x v="39"/>
    <x v="2"/>
    <x v="4"/>
    <x v="7"/>
    <x v="0"/>
    <x v="3"/>
    <n v="3"/>
    <n v="19370"/>
    <n v="58110"/>
    <n v="47078.67"/>
    <n v="11031.33"/>
    <n v="0.18983531233866804"/>
  </r>
  <r>
    <n v="2041"/>
    <x v="38"/>
    <x v="2"/>
    <x v="2"/>
    <x v="2"/>
    <x v="1"/>
    <x v="0"/>
    <n v="2"/>
    <n v="30282"/>
    <n v="60564"/>
    <n v="51395.97"/>
    <n v="9168.0300000000007"/>
    <n v="0.15137755102040817"/>
  </r>
  <r>
    <n v="2042"/>
    <x v="40"/>
    <x v="0"/>
    <x v="1"/>
    <x v="9"/>
    <x v="1"/>
    <x v="1"/>
    <n v="2"/>
    <n v="70174"/>
    <n v="140348"/>
    <n v="109675.46"/>
    <n v="30672.54"/>
    <n v="0.21854632769971785"/>
  </r>
  <r>
    <n v="2043"/>
    <x v="41"/>
    <x v="0"/>
    <x v="0"/>
    <x v="0"/>
    <x v="0"/>
    <x v="1"/>
    <n v="2"/>
    <n v="10804"/>
    <n v="21608"/>
    <n v="14106.75"/>
    <n v="7501.25"/>
    <n v="0.34715151795631249"/>
  </r>
  <r>
    <n v="2044"/>
    <x v="42"/>
    <x v="4"/>
    <x v="1"/>
    <x v="1"/>
    <x v="0"/>
    <x v="5"/>
    <n v="4"/>
    <n v="33533"/>
    <n v="134132"/>
    <n v="109348.57"/>
    <n v="24783.43"/>
    <n v="0.18476895893597353"/>
  </r>
  <r>
    <n v="2045"/>
    <x v="43"/>
    <x v="3"/>
    <x v="4"/>
    <x v="7"/>
    <x v="0"/>
    <x v="4"/>
    <n v="3"/>
    <n v="73688"/>
    <n v="221064"/>
    <n v="154326.51999999999"/>
    <n v="66737.48"/>
    <n v="0.30189212173850105"/>
  </r>
  <r>
    <n v="2046"/>
    <x v="44"/>
    <x v="1"/>
    <x v="3"/>
    <x v="3"/>
    <x v="2"/>
    <x v="4"/>
    <n v="4"/>
    <n v="25180"/>
    <n v="100720"/>
    <n v="66694.86"/>
    <n v="34025.14"/>
    <n v="0.33781910246227165"/>
  </r>
  <r>
    <n v="2047"/>
    <x v="45"/>
    <x v="2"/>
    <x v="0"/>
    <x v="0"/>
    <x v="0"/>
    <x v="5"/>
    <n v="5"/>
    <n v="63132"/>
    <n v="315660"/>
    <n v="257397.98"/>
    <n v="58262.02"/>
    <n v="0.18457207121586516"/>
  </r>
  <r>
    <n v="2048"/>
    <x v="11"/>
    <x v="0"/>
    <x v="5"/>
    <x v="8"/>
    <x v="1"/>
    <x v="1"/>
    <n v="5"/>
    <n v="74918"/>
    <n v="374590"/>
    <n v="244884.83"/>
    <n v="129705.17"/>
    <n v="0.34625902987266077"/>
  </r>
  <r>
    <n v="2049"/>
    <x v="46"/>
    <x v="6"/>
    <x v="2"/>
    <x v="5"/>
    <x v="1"/>
    <x v="3"/>
    <n v="1"/>
    <n v="27634"/>
    <n v="27634"/>
    <n v="18914.63"/>
    <n v="8719.3700000000008"/>
    <n v="0.31553050589853082"/>
  </r>
  <r>
    <n v="2050"/>
    <x v="47"/>
    <x v="4"/>
    <x v="2"/>
    <x v="5"/>
    <x v="1"/>
    <x v="5"/>
    <n v="5"/>
    <n v="16094"/>
    <n v="80470"/>
    <n v="57551.86"/>
    <n v="22918.14"/>
    <n v="0.28480352926556479"/>
  </r>
  <r>
    <n v="2051"/>
    <x v="29"/>
    <x v="4"/>
    <x v="5"/>
    <x v="8"/>
    <x v="1"/>
    <x v="1"/>
    <n v="1"/>
    <n v="15447"/>
    <n v="15447"/>
    <n v="10808.25"/>
    <n v="4638.75"/>
    <n v="0.30030102932608271"/>
  </r>
  <r>
    <n v="2052"/>
    <x v="48"/>
    <x v="3"/>
    <x v="0"/>
    <x v="6"/>
    <x v="1"/>
    <x v="2"/>
    <n v="4"/>
    <n v="11652"/>
    <n v="46608"/>
    <n v="37379.550000000003"/>
    <n v="9228.4500000000007"/>
    <n v="0.19800141606591146"/>
  </r>
  <r>
    <n v="2053"/>
    <x v="49"/>
    <x v="2"/>
    <x v="1"/>
    <x v="1"/>
    <x v="0"/>
    <x v="4"/>
    <n v="5"/>
    <n v="75130"/>
    <n v="375650"/>
    <n v="259153.66"/>
    <n v="116496.34"/>
    <n v="0.31011936643151872"/>
  </r>
  <r>
    <n v="2054"/>
    <x v="50"/>
    <x v="2"/>
    <x v="0"/>
    <x v="6"/>
    <x v="1"/>
    <x v="1"/>
    <n v="4"/>
    <n v="74552"/>
    <n v="298208"/>
    <n v="249987.83"/>
    <n v="48220.17"/>
    <n v="0.16169978672604357"/>
  </r>
  <r>
    <n v="2055"/>
    <x v="51"/>
    <x v="1"/>
    <x v="5"/>
    <x v="8"/>
    <x v="1"/>
    <x v="1"/>
    <n v="4"/>
    <n v="25974"/>
    <n v="103896"/>
    <n v="76189.78"/>
    <n v="27706.22"/>
    <n v="0.2666726341726342"/>
  </r>
  <r>
    <n v="2056"/>
    <x v="52"/>
    <x v="2"/>
    <x v="2"/>
    <x v="2"/>
    <x v="1"/>
    <x v="4"/>
    <n v="2"/>
    <n v="64143"/>
    <n v="128286"/>
    <n v="85261.97"/>
    <n v="43024.03"/>
    <n v="0.33537587889559267"/>
  </r>
  <r>
    <n v="2057"/>
    <x v="53"/>
    <x v="6"/>
    <x v="0"/>
    <x v="6"/>
    <x v="1"/>
    <x v="2"/>
    <n v="3"/>
    <n v="26740"/>
    <n v="80220"/>
    <n v="56203.86"/>
    <n v="24016.14"/>
    <n v="0.29937845923709799"/>
  </r>
  <r>
    <n v="2058"/>
    <x v="54"/>
    <x v="2"/>
    <x v="4"/>
    <x v="4"/>
    <x v="1"/>
    <x v="3"/>
    <n v="4"/>
    <n v="71866"/>
    <n v="287464"/>
    <n v="196211.15"/>
    <n v="91252.85"/>
    <n v="0.31744096652102527"/>
  </r>
  <r>
    <n v="2059"/>
    <x v="55"/>
    <x v="0"/>
    <x v="4"/>
    <x v="7"/>
    <x v="0"/>
    <x v="5"/>
    <n v="5"/>
    <n v="60928"/>
    <n v="304640"/>
    <n v="218677.67"/>
    <n v="85962.33"/>
    <n v="0.28217676601890757"/>
  </r>
  <r>
    <n v="2060"/>
    <x v="56"/>
    <x v="1"/>
    <x v="4"/>
    <x v="7"/>
    <x v="0"/>
    <x v="4"/>
    <n v="3"/>
    <n v="10553"/>
    <n v="31659"/>
    <n v="22718.37"/>
    <n v="8940.6299999999992"/>
    <n v="0.28240405571875293"/>
  </r>
  <r>
    <n v="2061"/>
    <x v="57"/>
    <x v="2"/>
    <x v="2"/>
    <x v="5"/>
    <x v="1"/>
    <x v="5"/>
    <n v="4"/>
    <n v="51450"/>
    <n v="205800"/>
    <n v="155067.57999999999"/>
    <n v="50732.42"/>
    <n v="0.24651321671525753"/>
  </r>
  <r>
    <n v="2062"/>
    <x v="58"/>
    <x v="4"/>
    <x v="0"/>
    <x v="6"/>
    <x v="1"/>
    <x v="2"/>
    <n v="2"/>
    <n v="21733"/>
    <n v="43466"/>
    <n v="28983.66"/>
    <n v="14482.34"/>
    <n v="0.33318777895366491"/>
  </r>
  <r>
    <n v="2063"/>
    <x v="59"/>
    <x v="3"/>
    <x v="0"/>
    <x v="6"/>
    <x v="1"/>
    <x v="3"/>
    <n v="2"/>
    <n v="63345"/>
    <n v="126690"/>
    <n v="103875.36"/>
    <n v="22814.639999999999"/>
    <n v="0.18008240587260241"/>
  </r>
  <r>
    <n v="2064"/>
    <x v="60"/>
    <x v="2"/>
    <x v="0"/>
    <x v="6"/>
    <x v="1"/>
    <x v="3"/>
    <n v="5"/>
    <n v="72829"/>
    <n v="364145"/>
    <n v="287704.95"/>
    <n v="76440.05"/>
    <n v="0.20991651677216494"/>
  </r>
  <r>
    <n v="2065"/>
    <x v="61"/>
    <x v="1"/>
    <x v="1"/>
    <x v="1"/>
    <x v="0"/>
    <x v="2"/>
    <n v="2"/>
    <n v="63747"/>
    <n v="127494"/>
    <n v="105699.8"/>
    <n v="21794.2"/>
    <n v="0.17094294633472948"/>
  </r>
  <r>
    <n v="2066"/>
    <x v="62"/>
    <x v="3"/>
    <x v="0"/>
    <x v="6"/>
    <x v="1"/>
    <x v="5"/>
    <n v="3"/>
    <n v="18976"/>
    <n v="56928"/>
    <n v="43927.66"/>
    <n v="13000.34"/>
    <n v="0.22836460089938168"/>
  </r>
  <r>
    <n v="2067"/>
    <x v="63"/>
    <x v="3"/>
    <x v="4"/>
    <x v="7"/>
    <x v="0"/>
    <x v="4"/>
    <n v="4"/>
    <n v="9513"/>
    <n v="38052"/>
    <n v="27314.880000000001"/>
    <n v="10737.12"/>
    <n v="0.28216966256701359"/>
  </r>
  <r>
    <n v="2068"/>
    <x v="64"/>
    <x v="2"/>
    <x v="5"/>
    <x v="8"/>
    <x v="1"/>
    <x v="4"/>
    <n v="2"/>
    <n v="13663"/>
    <n v="27326"/>
    <n v="20641.599999999999"/>
    <n v="6684.4"/>
    <n v="0.24461684842274756"/>
  </r>
  <r>
    <n v="2069"/>
    <x v="65"/>
    <x v="3"/>
    <x v="4"/>
    <x v="7"/>
    <x v="0"/>
    <x v="3"/>
    <n v="1"/>
    <n v="31743"/>
    <n v="31743"/>
    <n v="21913.9"/>
    <n v="9829.1"/>
    <n v="0.30964622121412594"/>
  </r>
  <r>
    <n v="2070"/>
    <x v="66"/>
    <x v="5"/>
    <x v="0"/>
    <x v="6"/>
    <x v="1"/>
    <x v="4"/>
    <n v="2"/>
    <n v="46005"/>
    <n v="92010"/>
    <n v="68008.03"/>
    <n v="24001.97"/>
    <n v="0.26086262362786655"/>
  </r>
  <r>
    <n v="2071"/>
    <x v="57"/>
    <x v="1"/>
    <x v="4"/>
    <x v="4"/>
    <x v="1"/>
    <x v="4"/>
    <n v="3"/>
    <n v="12843"/>
    <n v="38529"/>
    <n v="25162.1"/>
    <n v="13366.9"/>
    <n v="0.34693088323081317"/>
  </r>
  <r>
    <n v="2072"/>
    <x v="67"/>
    <x v="4"/>
    <x v="5"/>
    <x v="8"/>
    <x v="1"/>
    <x v="3"/>
    <n v="4"/>
    <n v="40201"/>
    <n v="160804"/>
    <n v="134581.46"/>
    <n v="26222.54"/>
    <n v="0.16307144100893012"/>
  </r>
  <r>
    <n v="2073"/>
    <x v="68"/>
    <x v="5"/>
    <x v="1"/>
    <x v="1"/>
    <x v="0"/>
    <x v="5"/>
    <n v="4"/>
    <n v="79553"/>
    <n v="318212"/>
    <n v="259954.63"/>
    <n v="58257.37"/>
    <n v="0.18307722524606238"/>
  </r>
  <r>
    <n v="2074"/>
    <x v="61"/>
    <x v="4"/>
    <x v="2"/>
    <x v="2"/>
    <x v="1"/>
    <x v="4"/>
    <n v="2"/>
    <n v="38089"/>
    <n v="76178"/>
    <n v="54737.01"/>
    <n v="21440.99"/>
    <n v="0.28145908267478803"/>
  </r>
  <r>
    <n v="2075"/>
    <x v="69"/>
    <x v="2"/>
    <x v="4"/>
    <x v="4"/>
    <x v="1"/>
    <x v="4"/>
    <n v="2"/>
    <n v="9868"/>
    <n v="19736"/>
    <n v="13107.56"/>
    <n v="6628.44"/>
    <n v="0.33585528982569923"/>
  </r>
  <r>
    <n v="2076"/>
    <x v="70"/>
    <x v="2"/>
    <x v="0"/>
    <x v="6"/>
    <x v="1"/>
    <x v="3"/>
    <n v="1"/>
    <n v="57922"/>
    <n v="57922"/>
    <n v="47733.96"/>
    <n v="10188.040000000001"/>
    <n v="0.175892407030144"/>
  </r>
  <r>
    <n v="2077"/>
    <x v="71"/>
    <x v="4"/>
    <x v="0"/>
    <x v="6"/>
    <x v="1"/>
    <x v="3"/>
    <n v="3"/>
    <n v="13929"/>
    <n v="41787"/>
    <n v="31001.38"/>
    <n v="10785.62"/>
    <n v="0.25810945987986694"/>
  </r>
  <r>
    <n v="2078"/>
    <x v="72"/>
    <x v="1"/>
    <x v="4"/>
    <x v="4"/>
    <x v="1"/>
    <x v="0"/>
    <n v="3"/>
    <n v="55728"/>
    <n v="167184"/>
    <n v="140828.66"/>
    <n v="26355.34"/>
    <n v="0.15764271700641211"/>
  </r>
  <r>
    <n v="2079"/>
    <x v="73"/>
    <x v="1"/>
    <x v="5"/>
    <x v="8"/>
    <x v="1"/>
    <x v="3"/>
    <n v="3"/>
    <n v="36556"/>
    <n v="109668"/>
    <n v="79105.37"/>
    <n v="30562.63"/>
    <n v="0.278683207498997"/>
  </r>
  <r>
    <n v="2080"/>
    <x v="20"/>
    <x v="1"/>
    <x v="1"/>
    <x v="9"/>
    <x v="1"/>
    <x v="0"/>
    <n v="4"/>
    <n v="44559"/>
    <n v="178236"/>
    <n v="133775.53"/>
    <n v="44460.47"/>
    <n v="0.24944719360847417"/>
  </r>
  <r>
    <n v="2081"/>
    <x v="74"/>
    <x v="0"/>
    <x v="4"/>
    <x v="7"/>
    <x v="0"/>
    <x v="1"/>
    <n v="1"/>
    <n v="42625"/>
    <n v="42625"/>
    <n v="34671.550000000003"/>
    <n v="7953.45"/>
    <n v="0.18659120234604104"/>
  </r>
  <r>
    <n v="2082"/>
    <x v="75"/>
    <x v="2"/>
    <x v="4"/>
    <x v="4"/>
    <x v="1"/>
    <x v="1"/>
    <n v="4"/>
    <n v="10948"/>
    <n v="43792"/>
    <n v="31089.22"/>
    <n v="12702.78"/>
    <n v="0.29007078918523932"/>
  </r>
  <r>
    <n v="2083"/>
    <x v="76"/>
    <x v="3"/>
    <x v="4"/>
    <x v="7"/>
    <x v="0"/>
    <x v="1"/>
    <n v="2"/>
    <n v="59054"/>
    <n v="118108"/>
    <n v="94824.46"/>
    <n v="23283.54"/>
    <n v="0.19713770447387138"/>
  </r>
  <r>
    <n v="2084"/>
    <x v="77"/>
    <x v="0"/>
    <x v="2"/>
    <x v="5"/>
    <x v="1"/>
    <x v="4"/>
    <n v="2"/>
    <n v="13739"/>
    <n v="27478"/>
    <n v="22393.78"/>
    <n v="5084.22"/>
    <n v="0.18502875027294563"/>
  </r>
  <r>
    <n v="2085"/>
    <x v="78"/>
    <x v="5"/>
    <x v="5"/>
    <x v="8"/>
    <x v="1"/>
    <x v="0"/>
    <n v="5"/>
    <n v="26259"/>
    <n v="131295"/>
    <n v="109234.49"/>
    <n v="22060.51"/>
    <n v="0.16802246848699492"/>
  </r>
  <r>
    <n v="2086"/>
    <x v="79"/>
    <x v="4"/>
    <x v="5"/>
    <x v="8"/>
    <x v="1"/>
    <x v="2"/>
    <n v="5"/>
    <n v="38138"/>
    <n v="190690"/>
    <n v="127193.73"/>
    <n v="63496.27"/>
    <n v="0.33298164560281085"/>
  </r>
  <r>
    <n v="2087"/>
    <x v="80"/>
    <x v="0"/>
    <x v="1"/>
    <x v="9"/>
    <x v="1"/>
    <x v="5"/>
    <n v="1"/>
    <n v="57364"/>
    <n v="57364"/>
    <n v="46875.81"/>
    <n v="10488.19"/>
    <n v="0.18283575064500385"/>
  </r>
  <r>
    <n v="2088"/>
    <x v="57"/>
    <x v="3"/>
    <x v="5"/>
    <x v="8"/>
    <x v="1"/>
    <x v="5"/>
    <n v="5"/>
    <n v="40054"/>
    <n v="200270"/>
    <n v="149773.69"/>
    <n v="50496.31"/>
    <n v="0.25214115943476306"/>
  </r>
  <r>
    <n v="2089"/>
    <x v="81"/>
    <x v="2"/>
    <x v="1"/>
    <x v="9"/>
    <x v="1"/>
    <x v="2"/>
    <n v="5"/>
    <n v="20051"/>
    <n v="100255"/>
    <n v="78385.36"/>
    <n v="21869.64"/>
    <n v="0.21814014263627748"/>
  </r>
  <r>
    <n v="2090"/>
    <x v="82"/>
    <x v="5"/>
    <x v="1"/>
    <x v="1"/>
    <x v="0"/>
    <x v="5"/>
    <n v="3"/>
    <n v="17758"/>
    <n v="53274"/>
    <n v="43643.48"/>
    <n v="9630.52"/>
    <n v="0.1807733603634043"/>
  </r>
  <r>
    <n v="2091"/>
    <x v="83"/>
    <x v="5"/>
    <x v="4"/>
    <x v="7"/>
    <x v="0"/>
    <x v="3"/>
    <n v="4"/>
    <n v="72742"/>
    <n v="290968"/>
    <n v="238333.71"/>
    <n v="52634.29"/>
    <n v="0.18089374089246929"/>
  </r>
  <r>
    <n v="2092"/>
    <x v="10"/>
    <x v="2"/>
    <x v="1"/>
    <x v="1"/>
    <x v="0"/>
    <x v="5"/>
    <n v="1"/>
    <n v="33990"/>
    <n v="33990"/>
    <n v="22620.15"/>
    <n v="11369.85"/>
    <n v="0.33450573698146513"/>
  </r>
  <r>
    <n v="2093"/>
    <x v="0"/>
    <x v="1"/>
    <x v="4"/>
    <x v="4"/>
    <x v="1"/>
    <x v="4"/>
    <n v="3"/>
    <n v="25490"/>
    <n v="76470"/>
    <n v="49896.2"/>
    <n v="26573.8"/>
    <n v="0.34750621158624295"/>
  </r>
  <r>
    <n v="2094"/>
    <x v="84"/>
    <x v="2"/>
    <x v="1"/>
    <x v="9"/>
    <x v="1"/>
    <x v="4"/>
    <n v="1"/>
    <n v="36533"/>
    <n v="36533"/>
    <n v="28683.58"/>
    <n v="7849.42"/>
    <n v="0.21485834724769387"/>
  </r>
  <r>
    <n v="2095"/>
    <x v="85"/>
    <x v="5"/>
    <x v="0"/>
    <x v="6"/>
    <x v="1"/>
    <x v="1"/>
    <n v="4"/>
    <n v="69066"/>
    <n v="276264"/>
    <n v="205338.14"/>
    <n v="70925.86"/>
    <n v="0.25673218370833695"/>
  </r>
  <r>
    <n v="2096"/>
    <x v="86"/>
    <x v="4"/>
    <x v="1"/>
    <x v="1"/>
    <x v="0"/>
    <x v="3"/>
    <n v="1"/>
    <n v="69989"/>
    <n v="69989"/>
    <n v="45737.87"/>
    <n v="24251.13"/>
    <n v="0.34649916415436716"/>
  </r>
  <r>
    <n v="2097"/>
    <x v="87"/>
    <x v="3"/>
    <x v="2"/>
    <x v="5"/>
    <x v="1"/>
    <x v="1"/>
    <n v="3"/>
    <n v="58704"/>
    <n v="176112"/>
    <n v="121863.77"/>
    <n v="54248.23"/>
    <n v="0.30803255882620151"/>
  </r>
  <r>
    <n v="2098"/>
    <x v="88"/>
    <x v="3"/>
    <x v="4"/>
    <x v="7"/>
    <x v="0"/>
    <x v="1"/>
    <n v="2"/>
    <n v="76690"/>
    <n v="153380"/>
    <n v="107728.25"/>
    <n v="45651.75"/>
    <n v="0.29763821880297303"/>
  </r>
  <r>
    <n v="2099"/>
    <x v="89"/>
    <x v="0"/>
    <x v="0"/>
    <x v="0"/>
    <x v="0"/>
    <x v="1"/>
    <n v="5"/>
    <n v="44643"/>
    <n v="223215"/>
    <n v="184681.94"/>
    <n v="38533.06"/>
    <n v="0.17262755639181954"/>
  </r>
  <r>
    <n v="2100"/>
    <x v="90"/>
    <x v="0"/>
    <x v="0"/>
    <x v="0"/>
    <x v="0"/>
    <x v="0"/>
    <n v="4"/>
    <n v="11255"/>
    <n v="45020"/>
    <n v="30695.22"/>
    <n v="14324.78"/>
    <n v="0.3181870279875611"/>
  </r>
  <r>
    <n v="2101"/>
    <x v="91"/>
    <x v="5"/>
    <x v="2"/>
    <x v="5"/>
    <x v="1"/>
    <x v="0"/>
    <n v="3"/>
    <n v="26442"/>
    <n v="79326"/>
    <n v="58164.7"/>
    <n v="21161.3"/>
    <n v="0.26676373446284951"/>
  </r>
  <r>
    <n v="2102"/>
    <x v="92"/>
    <x v="1"/>
    <x v="2"/>
    <x v="2"/>
    <x v="1"/>
    <x v="2"/>
    <n v="1"/>
    <n v="50539"/>
    <n v="50539"/>
    <n v="40438.620000000003"/>
    <n v="10100.379999999999"/>
    <n v="0.19985318269059538"/>
  </r>
  <r>
    <n v="2103"/>
    <x v="93"/>
    <x v="3"/>
    <x v="2"/>
    <x v="2"/>
    <x v="1"/>
    <x v="3"/>
    <n v="1"/>
    <n v="45988"/>
    <n v="45988"/>
    <n v="32221.14"/>
    <n v="13766.86"/>
    <n v="0.29935765851961382"/>
  </r>
  <r>
    <n v="2104"/>
    <x v="21"/>
    <x v="2"/>
    <x v="1"/>
    <x v="1"/>
    <x v="0"/>
    <x v="0"/>
    <n v="1"/>
    <n v="55278"/>
    <n v="55278"/>
    <n v="46161.72"/>
    <n v="9116.2800000000007"/>
    <n v="0.16491696515792903"/>
  </r>
  <r>
    <n v="2105"/>
    <x v="94"/>
    <x v="6"/>
    <x v="0"/>
    <x v="6"/>
    <x v="1"/>
    <x v="2"/>
    <n v="1"/>
    <n v="14765"/>
    <n v="14765"/>
    <n v="12062.05"/>
    <n v="2702.95"/>
    <n v="0.18306467998645445"/>
  </r>
  <r>
    <n v="2106"/>
    <x v="95"/>
    <x v="5"/>
    <x v="0"/>
    <x v="6"/>
    <x v="1"/>
    <x v="3"/>
    <n v="3"/>
    <n v="65178"/>
    <n v="195534"/>
    <n v="147079.23000000001"/>
    <n v="48454.77"/>
    <n v="0.24780738899628707"/>
  </r>
  <r>
    <n v="2107"/>
    <x v="96"/>
    <x v="6"/>
    <x v="4"/>
    <x v="7"/>
    <x v="0"/>
    <x v="4"/>
    <n v="1"/>
    <n v="60434"/>
    <n v="60434"/>
    <n v="50322.47"/>
    <n v="10111.530000000001"/>
    <n v="0.16731525300327632"/>
  </r>
  <r>
    <n v="2108"/>
    <x v="9"/>
    <x v="4"/>
    <x v="5"/>
    <x v="8"/>
    <x v="1"/>
    <x v="3"/>
    <n v="1"/>
    <n v="61855"/>
    <n v="61855"/>
    <n v="45783.34"/>
    <n v="16071.66"/>
    <n v="0.25982798480316871"/>
  </r>
  <r>
    <n v="2109"/>
    <x v="90"/>
    <x v="5"/>
    <x v="4"/>
    <x v="4"/>
    <x v="1"/>
    <x v="4"/>
    <n v="1"/>
    <n v="24686"/>
    <n v="24686"/>
    <n v="16888.990000000002"/>
    <n v="7797.01"/>
    <n v="0.31584744389532532"/>
  </r>
  <r>
    <n v="2110"/>
    <x v="97"/>
    <x v="1"/>
    <x v="2"/>
    <x v="2"/>
    <x v="1"/>
    <x v="4"/>
    <n v="3"/>
    <n v="42100"/>
    <n v="126300"/>
    <n v="92355.85"/>
    <n v="33944.15"/>
    <n v="0.26875811559778306"/>
  </r>
  <r>
    <n v="2111"/>
    <x v="98"/>
    <x v="1"/>
    <x v="4"/>
    <x v="7"/>
    <x v="0"/>
    <x v="0"/>
    <n v="4"/>
    <n v="23694"/>
    <n v="94776"/>
    <n v="64776.22"/>
    <n v="29999.78"/>
    <n v="0.31653351059339918"/>
  </r>
  <r>
    <n v="2112"/>
    <x v="99"/>
    <x v="3"/>
    <x v="4"/>
    <x v="4"/>
    <x v="1"/>
    <x v="3"/>
    <n v="4"/>
    <n v="36839"/>
    <n v="147356"/>
    <n v="109131.44"/>
    <n v="38224.559999999998"/>
    <n v="0.25940280680800237"/>
  </r>
  <r>
    <n v="2113"/>
    <x v="100"/>
    <x v="6"/>
    <x v="0"/>
    <x v="0"/>
    <x v="0"/>
    <x v="0"/>
    <n v="2"/>
    <n v="79799"/>
    <n v="159598"/>
    <n v="109880.26"/>
    <n v="49717.74"/>
    <n v="0.31151856539555633"/>
  </r>
  <r>
    <n v="2114"/>
    <x v="101"/>
    <x v="0"/>
    <x v="1"/>
    <x v="1"/>
    <x v="0"/>
    <x v="4"/>
    <n v="1"/>
    <n v="49849"/>
    <n v="49849"/>
    <n v="34785.89"/>
    <n v="15063.11"/>
    <n v="0.30217476779875224"/>
  </r>
  <r>
    <n v="2115"/>
    <x v="51"/>
    <x v="6"/>
    <x v="0"/>
    <x v="6"/>
    <x v="1"/>
    <x v="1"/>
    <n v="1"/>
    <n v="62104"/>
    <n v="62104"/>
    <n v="45122.75"/>
    <n v="16981.25"/>
    <n v="0.2734324681179956"/>
  </r>
  <r>
    <n v="2116"/>
    <x v="59"/>
    <x v="0"/>
    <x v="5"/>
    <x v="8"/>
    <x v="1"/>
    <x v="0"/>
    <n v="3"/>
    <n v="16134"/>
    <n v="48402"/>
    <n v="36283.550000000003"/>
    <n v="12118.45"/>
    <n v="0.25037085244411389"/>
  </r>
  <r>
    <n v="2117"/>
    <x v="79"/>
    <x v="1"/>
    <x v="3"/>
    <x v="3"/>
    <x v="2"/>
    <x v="3"/>
    <n v="5"/>
    <n v="77366"/>
    <n v="386830"/>
    <n v="300151.21999999997"/>
    <n v="86678.78"/>
    <n v="0.22407460641625521"/>
  </r>
  <r>
    <n v="2118"/>
    <x v="95"/>
    <x v="3"/>
    <x v="4"/>
    <x v="7"/>
    <x v="0"/>
    <x v="4"/>
    <n v="4"/>
    <n v="60396"/>
    <n v="241584"/>
    <n v="188232.19"/>
    <n v="53351.81"/>
    <n v="0.22084165342075635"/>
  </r>
  <r>
    <n v="2119"/>
    <x v="102"/>
    <x v="1"/>
    <x v="2"/>
    <x v="2"/>
    <x v="1"/>
    <x v="2"/>
    <n v="1"/>
    <n v="63731"/>
    <n v="63731"/>
    <n v="50468.73"/>
    <n v="13262.27"/>
    <n v="0.20809762909729959"/>
  </r>
  <r>
    <n v="2120"/>
    <x v="103"/>
    <x v="4"/>
    <x v="2"/>
    <x v="5"/>
    <x v="1"/>
    <x v="0"/>
    <n v="1"/>
    <n v="59317"/>
    <n v="59317"/>
    <n v="49591.839999999997"/>
    <n v="9725.16"/>
    <n v="0.16395232395434697"/>
  </r>
  <r>
    <n v="2121"/>
    <x v="18"/>
    <x v="6"/>
    <x v="5"/>
    <x v="8"/>
    <x v="1"/>
    <x v="0"/>
    <n v="2"/>
    <n v="22292"/>
    <n v="44584"/>
    <n v="30975.18"/>
    <n v="13608.82"/>
    <n v="0.30523999641126859"/>
  </r>
  <r>
    <n v="2122"/>
    <x v="104"/>
    <x v="4"/>
    <x v="4"/>
    <x v="4"/>
    <x v="1"/>
    <x v="5"/>
    <n v="4"/>
    <n v="19141"/>
    <n v="76564"/>
    <n v="58211.62"/>
    <n v="18352.38"/>
    <n v="0.23969985894153911"/>
  </r>
  <r>
    <n v="2123"/>
    <x v="105"/>
    <x v="3"/>
    <x v="1"/>
    <x v="9"/>
    <x v="1"/>
    <x v="3"/>
    <n v="5"/>
    <n v="12927"/>
    <n v="64635"/>
    <n v="50357.2"/>
    <n v="14277.8"/>
    <n v="0.22089889378819524"/>
  </r>
  <r>
    <n v="2124"/>
    <x v="106"/>
    <x v="0"/>
    <x v="0"/>
    <x v="6"/>
    <x v="1"/>
    <x v="5"/>
    <n v="5"/>
    <n v="65334"/>
    <n v="326670"/>
    <n v="257976.65"/>
    <n v="68693.350000000006"/>
    <n v="0.21028361955490252"/>
  </r>
  <r>
    <n v="2125"/>
    <x v="107"/>
    <x v="3"/>
    <x v="1"/>
    <x v="1"/>
    <x v="0"/>
    <x v="2"/>
    <n v="5"/>
    <n v="33126"/>
    <n v="165630"/>
    <n v="120515.1"/>
    <n v="45114.9"/>
    <n v="0.27238362615468215"/>
  </r>
  <r>
    <n v="2126"/>
    <x v="103"/>
    <x v="6"/>
    <x v="4"/>
    <x v="7"/>
    <x v="0"/>
    <x v="1"/>
    <n v="1"/>
    <n v="78448"/>
    <n v="78448"/>
    <n v="55721.95"/>
    <n v="22726.05"/>
    <n v="0.2896957220069345"/>
  </r>
  <r>
    <n v="2127"/>
    <x v="108"/>
    <x v="1"/>
    <x v="2"/>
    <x v="5"/>
    <x v="1"/>
    <x v="4"/>
    <n v="2"/>
    <n v="70299"/>
    <n v="140598"/>
    <n v="106187.42"/>
    <n v="34410.58"/>
    <n v="0.24474444871193049"/>
  </r>
  <r>
    <n v="2128"/>
    <x v="109"/>
    <x v="0"/>
    <x v="5"/>
    <x v="8"/>
    <x v="1"/>
    <x v="2"/>
    <n v="3"/>
    <n v="15249"/>
    <n v="45747"/>
    <n v="29934.89"/>
    <n v="15812.11"/>
    <n v="0.3456425557960085"/>
  </r>
  <r>
    <n v="2129"/>
    <x v="110"/>
    <x v="5"/>
    <x v="2"/>
    <x v="5"/>
    <x v="1"/>
    <x v="5"/>
    <n v="1"/>
    <n v="41719"/>
    <n v="41719"/>
    <n v="29018.41"/>
    <n v="12700.59"/>
    <n v="0.30443179366715406"/>
  </r>
  <r>
    <n v="2130"/>
    <x v="111"/>
    <x v="1"/>
    <x v="2"/>
    <x v="2"/>
    <x v="1"/>
    <x v="3"/>
    <n v="1"/>
    <n v="52309"/>
    <n v="52309"/>
    <n v="41515.9"/>
    <n v="10793.1"/>
    <n v="0.20633351813263492"/>
  </r>
  <r>
    <n v="2131"/>
    <x v="112"/>
    <x v="5"/>
    <x v="0"/>
    <x v="0"/>
    <x v="0"/>
    <x v="0"/>
    <n v="1"/>
    <n v="46287"/>
    <n v="46287"/>
    <n v="36928.959999999999"/>
    <n v="9358.0400000000009"/>
    <n v="0.20217426059152679"/>
  </r>
  <r>
    <n v="2132"/>
    <x v="113"/>
    <x v="3"/>
    <x v="5"/>
    <x v="8"/>
    <x v="1"/>
    <x v="3"/>
    <n v="2"/>
    <n v="48857"/>
    <n v="97714"/>
    <n v="78481.09"/>
    <n v="19232.91"/>
    <n v="0.19682860183801706"/>
  </r>
  <r>
    <n v="2133"/>
    <x v="114"/>
    <x v="0"/>
    <x v="4"/>
    <x v="7"/>
    <x v="0"/>
    <x v="0"/>
    <n v="3"/>
    <n v="46657"/>
    <n v="139971"/>
    <n v="94032.74"/>
    <n v="45938.26"/>
    <n v="0.32819841252830945"/>
  </r>
  <r>
    <n v="2134"/>
    <x v="115"/>
    <x v="2"/>
    <x v="3"/>
    <x v="3"/>
    <x v="2"/>
    <x v="1"/>
    <n v="2"/>
    <n v="71576"/>
    <n v="143152"/>
    <n v="104988.51"/>
    <n v="38163.49"/>
    <n v="0.26659417961327819"/>
  </r>
  <r>
    <n v="2135"/>
    <x v="116"/>
    <x v="4"/>
    <x v="1"/>
    <x v="9"/>
    <x v="1"/>
    <x v="3"/>
    <n v="1"/>
    <n v="35911"/>
    <n v="35911"/>
    <n v="23511.86"/>
    <n v="12399.14"/>
    <n v="0.3452741499818997"/>
  </r>
  <r>
    <n v="2136"/>
    <x v="117"/>
    <x v="0"/>
    <x v="3"/>
    <x v="3"/>
    <x v="2"/>
    <x v="0"/>
    <n v="1"/>
    <n v="32130"/>
    <n v="32130"/>
    <n v="23411.99"/>
    <n v="8718.01"/>
    <n v="0.27133551198257083"/>
  </r>
  <r>
    <n v="2137"/>
    <x v="118"/>
    <x v="5"/>
    <x v="0"/>
    <x v="0"/>
    <x v="0"/>
    <x v="2"/>
    <n v="2"/>
    <n v="51154"/>
    <n v="102308"/>
    <n v="70401.89"/>
    <n v="31906.11"/>
    <n v="0.3118632951479845"/>
  </r>
  <r>
    <n v="2138"/>
    <x v="119"/>
    <x v="5"/>
    <x v="5"/>
    <x v="8"/>
    <x v="1"/>
    <x v="0"/>
    <n v="3"/>
    <n v="57626"/>
    <n v="172878"/>
    <n v="141384.01999999999"/>
    <n v="31493.98"/>
    <n v="0.1821745971147283"/>
  </r>
  <r>
    <n v="2139"/>
    <x v="104"/>
    <x v="2"/>
    <x v="0"/>
    <x v="0"/>
    <x v="0"/>
    <x v="3"/>
    <n v="1"/>
    <n v="18255"/>
    <n v="18255"/>
    <n v="12887.32"/>
    <n v="5367.68"/>
    <n v="0.29403889345384826"/>
  </r>
  <r>
    <n v="2140"/>
    <x v="120"/>
    <x v="2"/>
    <x v="0"/>
    <x v="0"/>
    <x v="0"/>
    <x v="2"/>
    <n v="2"/>
    <n v="57824"/>
    <n v="115648"/>
    <n v="83419.89"/>
    <n v="32228.11"/>
    <n v="0.27867416643608189"/>
  </r>
  <r>
    <n v="2141"/>
    <x v="121"/>
    <x v="6"/>
    <x v="0"/>
    <x v="6"/>
    <x v="1"/>
    <x v="0"/>
    <n v="1"/>
    <n v="70057"/>
    <n v="70057"/>
    <n v="48279.3"/>
    <n v="21777.7"/>
    <n v="0.3108568736885679"/>
  </r>
  <r>
    <n v="2142"/>
    <x v="122"/>
    <x v="2"/>
    <x v="5"/>
    <x v="8"/>
    <x v="1"/>
    <x v="3"/>
    <n v="3"/>
    <n v="70198"/>
    <n v="210594"/>
    <n v="138161.54"/>
    <n v="72432.460000000006"/>
    <n v="0.34394360713030764"/>
  </r>
  <r>
    <n v="2143"/>
    <x v="91"/>
    <x v="0"/>
    <x v="2"/>
    <x v="2"/>
    <x v="1"/>
    <x v="5"/>
    <n v="1"/>
    <n v="57226"/>
    <n v="57226"/>
    <n v="37595.82"/>
    <n v="19630.18"/>
    <n v="0.34302904274280921"/>
  </r>
  <r>
    <n v="2144"/>
    <x v="123"/>
    <x v="6"/>
    <x v="1"/>
    <x v="1"/>
    <x v="0"/>
    <x v="2"/>
    <n v="2"/>
    <n v="16238"/>
    <n v="32476"/>
    <n v="26945.67"/>
    <n v="5530.33"/>
    <n v="0.17028975243256558"/>
  </r>
  <r>
    <n v="2145"/>
    <x v="124"/>
    <x v="1"/>
    <x v="0"/>
    <x v="0"/>
    <x v="0"/>
    <x v="4"/>
    <n v="5"/>
    <n v="13712"/>
    <n v="68560"/>
    <n v="48158.91"/>
    <n v="20401.09"/>
    <n v="0.29756549008168026"/>
  </r>
  <r>
    <n v="2146"/>
    <x v="72"/>
    <x v="1"/>
    <x v="0"/>
    <x v="0"/>
    <x v="0"/>
    <x v="4"/>
    <n v="5"/>
    <n v="16563"/>
    <n v="82815"/>
    <n v="54231.51"/>
    <n v="28583.49"/>
    <n v="0.34514870494475641"/>
  </r>
  <r>
    <n v="2147"/>
    <x v="40"/>
    <x v="3"/>
    <x v="4"/>
    <x v="7"/>
    <x v="0"/>
    <x v="0"/>
    <n v="4"/>
    <n v="40905"/>
    <n v="163620"/>
    <n v="136247.81"/>
    <n v="27372.19"/>
    <n v="0.16729122356680112"/>
  </r>
  <r>
    <n v="2148"/>
    <x v="125"/>
    <x v="0"/>
    <x v="2"/>
    <x v="5"/>
    <x v="1"/>
    <x v="0"/>
    <n v="1"/>
    <n v="47756"/>
    <n v="47756"/>
    <n v="38899.699999999997"/>
    <n v="8856.2999999999993"/>
    <n v="0.1854489488231845"/>
  </r>
  <r>
    <n v="2149"/>
    <x v="126"/>
    <x v="4"/>
    <x v="4"/>
    <x v="4"/>
    <x v="1"/>
    <x v="3"/>
    <n v="3"/>
    <n v="68395"/>
    <n v="205185"/>
    <n v="148219.82999999999"/>
    <n v="56965.17"/>
    <n v="0.27762833540463483"/>
  </r>
  <r>
    <n v="2150"/>
    <x v="112"/>
    <x v="3"/>
    <x v="3"/>
    <x v="3"/>
    <x v="2"/>
    <x v="1"/>
    <n v="4"/>
    <n v="28963"/>
    <n v="115852"/>
    <n v="81034.009999999995"/>
    <n v="34817.99"/>
    <n v="0.30053853192003588"/>
  </r>
  <r>
    <n v="2151"/>
    <x v="127"/>
    <x v="5"/>
    <x v="1"/>
    <x v="1"/>
    <x v="0"/>
    <x v="2"/>
    <n v="5"/>
    <n v="79383"/>
    <n v="396915"/>
    <n v="283854.43"/>
    <n v="113060.57"/>
    <n v="0.28484831764987467"/>
  </r>
  <r>
    <n v="2152"/>
    <x v="128"/>
    <x v="3"/>
    <x v="2"/>
    <x v="2"/>
    <x v="1"/>
    <x v="2"/>
    <n v="5"/>
    <n v="19020"/>
    <n v="95100"/>
    <n v="65777.649999999994"/>
    <n v="29322.35"/>
    <n v="0.30833175604626706"/>
  </r>
  <r>
    <n v="2153"/>
    <x v="129"/>
    <x v="2"/>
    <x v="2"/>
    <x v="2"/>
    <x v="1"/>
    <x v="5"/>
    <n v="2"/>
    <n v="38696"/>
    <n v="77392"/>
    <n v="52362.36"/>
    <n v="25029.64"/>
    <n v="0.32341378953897043"/>
  </r>
  <r>
    <n v="2154"/>
    <x v="130"/>
    <x v="4"/>
    <x v="2"/>
    <x v="5"/>
    <x v="1"/>
    <x v="5"/>
    <n v="5"/>
    <n v="23881"/>
    <n v="119405"/>
    <n v="96234.47"/>
    <n v="23170.53"/>
    <n v="0.19404991415769857"/>
  </r>
  <r>
    <n v="2155"/>
    <x v="131"/>
    <x v="1"/>
    <x v="0"/>
    <x v="6"/>
    <x v="1"/>
    <x v="4"/>
    <n v="3"/>
    <n v="56886"/>
    <n v="170658"/>
    <n v="119599.05"/>
    <n v="51058.95"/>
    <n v="0.29918872833386068"/>
  </r>
  <r>
    <n v="2156"/>
    <x v="17"/>
    <x v="0"/>
    <x v="0"/>
    <x v="6"/>
    <x v="1"/>
    <x v="0"/>
    <n v="2"/>
    <n v="40157"/>
    <n v="80314"/>
    <n v="55986.95"/>
    <n v="24327.05"/>
    <n v="0.30289924546156338"/>
  </r>
  <r>
    <n v="2157"/>
    <x v="126"/>
    <x v="4"/>
    <x v="0"/>
    <x v="6"/>
    <x v="1"/>
    <x v="3"/>
    <n v="1"/>
    <n v="59913"/>
    <n v="59913"/>
    <n v="41958.92"/>
    <n v="17954.080000000002"/>
    <n v="0.29966918698779899"/>
  </r>
  <r>
    <n v="2158"/>
    <x v="83"/>
    <x v="4"/>
    <x v="4"/>
    <x v="7"/>
    <x v="0"/>
    <x v="1"/>
    <n v="1"/>
    <n v="68806"/>
    <n v="68806"/>
    <n v="58360.639999999999"/>
    <n v="10445.36"/>
    <n v="0.15180885387902218"/>
  </r>
  <r>
    <n v="2159"/>
    <x v="83"/>
    <x v="3"/>
    <x v="1"/>
    <x v="1"/>
    <x v="0"/>
    <x v="0"/>
    <n v="4"/>
    <n v="57004"/>
    <n v="228016"/>
    <n v="150051.03"/>
    <n v="77964.97"/>
    <n v="0.34192762788576242"/>
  </r>
  <r>
    <n v="2160"/>
    <x v="132"/>
    <x v="0"/>
    <x v="0"/>
    <x v="6"/>
    <x v="1"/>
    <x v="2"/>
    <n v="2"/>
    <n v="33449"/>
    <n v="66898"/>
    <n v="55929.05"/>
    <n v="10968.95"/>
    <n v="0.16396529044216571"/>
  </r>
  <r>
    <n v="2161"/>
    <x v="18"/>
    <x v="4"/>
    <x v="0"/>
    <x v="0"/>
    <x v="0"/>
    <x v="3"/>
    <n v="5"/>
    <n v="42071"/>
    <n v="210355"/>
    <n v="169335.7"/>
    <n v="41019.300000000003"/>
    <n v="0.19500035654013456"/>
  </r>
  <r>
    <n v="2162"/>
    <x v="133"/>
    <x v="3"/>
    <x v="1"/>
    <x v="9"/>
    <x v="1"/>
    <x v="5"/>
    <n v="5"/>
    <n v="53835"/>
    <n v="269175"/>
    <n v="186680.69"/>
    <n v="82494.31"/>
    <n v="0.30647092040494101"/>
  </r>
  <r>
    <n v="2163"/>
    <x v="134"/>
    <x v="1"/>
    <x v="0"/>
    <x v="0"/>
    <x v="0"/>
    <x v="3"/>
    <n v="2"/>
    <n v="41412"/>
    <n v="82824"/>
    <n v="54468.97"/>
    <n v="28355.03"/>
    <n v="0.34235282043852022"/>
  </r>
  <r>
    <n v="2164"/>
    <x v="126"/>
    <x v="6"/>
    <x v="4"/>
    <x v="7"/>
    <x v="0"/>
    <x v="2"/>
    <n v="4"/>
    <n v="56733"/>
    <n v="226932"/>
    <n v="155908.87"/>
    <n v="71023.13"/>
    <n v="0.31297097809035307"/>
  </r>
  <r>
    <n v="2165"/>
    <x v="119"/>
    <x v="3"/>
    <x v="0"/>
    <x v="6"/>
    <x v="1"/>
    <x v="3"/>
    <n v="4"/>
    <n v="79833"/>
    <n v="319332"/>
    <n v="238445.65"/>
    <n v="80886.350000000006"/>
    <n v="0.25329860458707554"/>
  </r>
  <r>
    <n v="2166"/>
    <x v="135"/>
    <x v="3"/>
    <x v="2"/>
    <x v="2"/>
    <x v="1"/>
    <x v="0"/>
    <n v="5"/>
    <n v="28257"/>
    <n v="141285"/>
    <n v="109896.61"/>
    <n v="31388.39"/>
    <n v="0.22216364086774959"/>
  </r>
  <r>
    <n v="2167"/>
    <x v="136"/>
    <x v="5"/>
    <x v="1"/>
    <x v="1"/>
    <x v="0"/>
    <x v="3"/>
    <n v="3"/>
    <n v="61711"/>
    <n v="185133"/>
    <n v="156927.57"/>
    <n v="28205.43"/>
    <n v="0.15235225486542109"/>
  </r>
  <r>
    <n v="2168"/>
    <x v="86"/>
    <x v="2"/>
    <x v="0"/>
    <x v="6"/>
    <x v="1"/>
    <x v="2"/>
    <n v="5"/>
    <n v="54816"/>
    <n v="274080"/>
    <n v="200850.21"/>
    <n v="73229.789999999994"/>
    <n v="0.26718399737302972"/>
  </r>
  <r>
    <n v="2169"/>
    <x v="137"/>
    <x v="6"/>
    <x v="1"/>
    <x v="9"/>
    <x v="1"/>
    <x v="4"/>
    <n v="2"/>
    <n v="59213"/>
    <n v="118426"/>
    <n v="94220.479999999996"/>
    <n v="24205.52"/>
    <n v="0.20439362977724487"/>
  </r>
  <r>
    <n v="2170"/>
    <x v="138"/>
    <x v="3"/>
    <x v="4"/>
    <x v="7"/>
    <x v="0"/>
    <x v="0"/>
    <n v="4"/>
    <n v="22881"/>
    <n v="91524"/>
    <n v="74507.28"/>
    <n v="17016.72"/>
    <n v="0.18592631440933527"/>
  </r>
  <r>
    <n v="2171"/>
    <x v="139"/>
    <x v="4"/>
    <x v="2"/>
    <x v="2"/>
    <x v="1"/>
    <x v="4"/>
    <n v="2"/>
    <n v="25036"/>
    <n v="50072"/>
    <n v="32695.360000000001"/>
    <n v="17376.64"/>
    <n v="0.34703307237577885"/>
  </r>
  <r>
    <n v="2172"/>
    <x v="136"/>
    <x v="0"/>
    <x v="5"/>
    <x v="8"/>
    <x v="1"/>
    <x v="5"/>
    <n v="1"/>
    <n v="56607"/>
    <n v="56607"/>
    <n v="45141.24"/>
    <n v="11465.76"/>
    <n v="0.20255021463776565"/>
  </r>
  <r>
    <n v="2173"/>
    <x v="140"/>
    <x v="0"/>
    <x v="4"/>
    <x v="4"/>
    <x v="1"/>
    <x v="4"/>
    <n v="2"/>
    <n v="76309"/>
    <n v="152618"/>
    <n v="104445.21"/>
    <n v="48172.79"/>
    <n v="0.31564291236944531"/>
  </r>
  <r>
    <n v="2174"/>
    <x v="141"/>
    <x v="3"/>
    <x v="1"/>
    <x v="1"/>
    <x v="0"/>
    <x v="0"/>
    <n v="2"/>
    <n v="47533"/>
    <n v="95066"/>
    <n v="64200.93"/>
    <n v="30865.07"/>
    <n v="0.32466991353375552"/>
  </r>
  <r>
    <n v="2175"/>
    <x v="69"/>
    <x v="2"/>
    <x v="1"/>
    <x v="9"/>
    <x v="1"/>
    <x v="4"/>
    <n v="5"/>
    <n v="58842"/>
    <n v="294210"/>
    <n v="196314.23999999999"/>
    <n v="97895.76"/>
    <n v="0.33274110329356582"/>
  </r>
  <r>
    <n v="2176"/>
    <x v="142"/>
    <x v="5"/>
    <x v="3"/>
    <x v="3"/>
    <x v="2"/>
    <x v="3"/>
    <n v="2"/>
    <n v="61016"/>
    <n v="122032"/>
    <n v="94324.12"/>
    <n v="27707.88"/>
    <n v="0.22705421528779338"/>
  </r>
  <r>
    <n v="2177"/>
    <x v="125"/>
    <x v="6"/>
    <x v="4"/>
    <x v="7"/>
    <x v="0"/>
    <x v="0"/>
    <n v="5"/>
    <n v="36591"/>
    <n v="182955"/>
    <n v="120447.05"/>
    <n v="62507.95"/>
    <n v="0.34165751140990952"/>
  </r>
  <r>
    <n v="2178"/>
    <x v="143"/>
    <x v="0"/>
    <x v="5"/>
    <x v="8"/>
    <x v="1"/>
    <x v="0"/>
    <n v="1"/>
    <n v="27590"/>
    <n v="27590"/>
    <n v="19296.77"/>
    <n v="8293.23"/>
    <n v="0.30058825661471544"/>
  </r>
  <r>
    <n v="2179"/>
    <x v="84"/>
    <x v="3"/>
    <x v="4"/>
    <x v="7"/>
    <x v="0"/>
    <x v="1"/>
    <n v="1"/>
    <n v="50493"/>
    <n v="50493"/>
    <n v="34009.370000000003"/>
    <n v="16483.63"/>
    <n v="0.32645376586853625"/>
  </r>
  <r>
    <n v="2180"/>
    <x v="144"/>
    <x v="2"/>
    <x v="3"/>
    <x v="3"/>
    <x v="2"/>
    <x v="1"/>
    <n v="3"/>
    <n v="63059"/>
    <n v="189177"/>
    <n v="134626.35999999999"/>
    <n v="54550.64"/>
    <n v="0.28835767561595754"/>
  </r>
  <r>
    <n v="2181"/>
    <x v="145"/>
    <x v="2"/>
    <x v="4"/>
    <x v="7"/>
    <x v="0"/>
    <x v="0"/>
    <n v="3"/>
    <n v="66561"/>
    <n v="199683"/>
    <n v="149905.16"/>
    <n v="49777.84"/>
    <n v="0.24928431564028986"/>
  </r>
  <r>
    <n v="2182"/>
    <x v="77"/>
    <x v="3"/>
    <x v="4"/>
    <x v="4"/>
    <x v="1"/>
    <x v="2"/>
    <n v="4"/>
    <n v="68984"/>
    <n v="275936"/>
    <n v="192341.24"/>
    <n v="83594.759999999995"/>
    <n v="0.30294981444972746"/>
  </r>
  <r>
    <n v="2183"/>
    <x v="146"/>
    <x v="6"/>
    <x v="3"/>
    <x v="3"/>
    <x v="2"/>
    <x v="0"/>
    <n v="4"/>
    <n v="60473"/>
    <n v="241892"/>
    <n v="162409.97"/>
    <n v="79482.03"/>
    <n v="0.32858478163808641"/>
  </r>
  <r>
    <n v="2184"/>
    <x v="147"/>
    <x v="1"/>
    <x v="4"/>
    <x v="4"/>
    <x v="1"/>
    <x v="0"/>
    <n v="1"/>
    <n v="65929"/>
    <n v="65929"/>
    <n v="49504"/>
    <n v="16425"/>
    <n v="0.24913164161446405"/>
  </r>
  <r>
    <n v="2185"/>
    <x v="148"/>
    <x v="3"/>
    <x v="1"/>
    <x v="9"/>
    <x v="1"/>
    <x v="5"/>
    <n v="1"/>
    <n v="49120"/>
    <n v="49120"/>
    <n v="39567.5"/>
    <n v="9552.5"/>
    <n v="0.19447271986970685"/>
  </r>
  <r>
    <n v="2186"/>
    <x v="149"/>
    <x v="3"/>
    <x v="5"/>
    <x v="8"/>
    <x v="1"/>
    <x v="2"/>
    <n v="4"/>
    <n v="25850"/>
    <n v="103400"/>
    <n v="67744.710000000006"/>
    <n v="35655.29"/>
    <n v="0.34482872340425536"/>
  </r>
  <r>
    <n v="2187"/>
    <x v="71"/>
    <x v="4"/>
    <x v="1"/>
    <x v="1"/>
    <x v="0"/>
    <x v="5"/>
    <n v="1"/>
    <n v="33389"/>
    <n v="33389"/>
    <n v="22581.77"/>
    <n v="10807.23"/>
    <n v="0.32367636047800175"/>
  </r>
  <r>
    <n v="2188"/>
    <x v="79"/>
    <x v="1"/>
    <x v="2"/>
    <x v="5"/>
    <x v="1"/>
    <x v="3"/>
    <n v="2"/>
    <n v="16587"/>
    <n v="33174"/>
    <n v="27090.13"/>
    <n v="6083.87"/>
    <n v="0.18339271718815939"/>
  </r>
  <r>
    <n v="2189"/>
    <x v="150"/>
    <x v="6"/>
    <x v="3"/>
    <x v="3"/>
    <x v="2"/>
    <x v="4"/>
    <n v="3"/>
    <n v="44043"/>
    <n v="132129"/>
    <n v="109800.84"/>
    <n v="22328.16"/>
    <n v="0.16898758031923347"/>
  </r>
  <r>
    <n v="2190"/>
    <x v="81"/>
    <x v="0"/>
    <x v="2"/>
    <x v="5"/>
    <x v="1"/>
    <x v="4"/>
    <n v="4"/>
    <n v="35305"/>
    <n v="141220"/>
    <n v="108510.28"/>
    <n v="32709.72"/>
    <n v="0.23162243308313271"/>
  </r>
  <r>
    <n v="2191"/>
    <x v="151"/>
    <x v="4"/>
    <x v="3"/>
    <x v="3"/>
    <x v="2"/>
    <x v="3"/>
    <n v="3"/>
    <n v="12827"/>
    <n v="38481"/>
    <n v="26543.75"/>
    <n v="11937.25"/>
    <n v="0.31021153296432008"/>
  </r>
  <r>
    <n v="2192"/>
    <x v="19"/>
    <x v="0"/>
    <x v="2"/>
    <x v="2"/>
    <x v="1"/>
    <x v="5"/>
    <n v="3"/>
    <n v="57393"/>
    <n v="172179"/>
    <n v="117727.12"/>
    <n v="54451.88"/>
    <n v="0.31625157539537341"/>
  </r>
  <r>
    <n v="2193"/>
    <x v="152"/>
    <x v="3"/>
    <x v="0"/>
    <x v="6"/>
    <x v="1"/>
    <x v="1"/>
    <n v="3"/>
    <n v="67380"/>
    <n v="202140"/>
    <n v="153835.82"/>
    <n v="48304.18"/>
    <n v="0.23896398535668348"/>
  </r>
  <r>
    <n v="2194"/>
    <x v="153"/>
    <x v="5"/>
    <x v="3"/>
    <x v="3"/>
    <x v="2"/>
    <x v="2"/>
    <n v="5"/>
    <n v="59675"/>
    <n v="298375"/>
    <n v="237979.31"/>
    <n v="60395.69"/>
    <n v="0.20241538332635109"/>
  </r>
  <r>
    <n v="2195"/>
    <x v="154"/>
    <x v="1"/>
    <x v="0"/>
    <x v="0"/>
    <x v="0"/>
    <x v="0"/>
    <n v="5"/>
    <n v="27162"/>
    <n v="135810"/>
    <n v="98061.65"/>
    <n v="37748.35"/>
    <n v="0.27794970915249245"/>
  </r>
  <r>
    <n v="2196"/>
    <x v="155"/>
    <x v="2"/>
    <x v="1"/>
    <x v="1"/>
    <x v="0"/>
    <x v="3"/>
    <n v="5"/>
    <n v="14329"/>
    <n v="71645"/>
    <n v="50816.13"/>
    <n v="20828.87"/>
    <n v="0.29072328843603878"/>
  </r>
  <r>
    <n v="2197"/>
    <x v="142"/>
    <x v="1"/>
    <x v="5"/>
    <x v="8"/>
    <x v="1"/>
    <x v="4"/>
    <n v="5"/>
    <n v="48979"/>
    <n v="244895"/>
    <n v="195085.26"/>
    <n v="49809.74"/>
    <n v="0.20339222932277098"/>
  </r>
  <r>
    <n v="2198"/>
    <x v="156"/>
    <x v="0"/>
    <x v="1"/>
    <x v="9"/>
    <x v="1"/>
    <x v="3"/>
    <n v="5"/>
    <n v="64653"/>
    <n v="323265"/>
    <n v="237126.97"/>
    <n v="86138.03"/>
    <n v="0.26646259260977834"/>
  </r>
  <r>
    <n v="2199"/>
    <x v="157"/>
    <x v="3"/>
    <x v="0"/>
    <x v="0"/>
    <x v="0"/>
    <x v="3"/>
    <n v="2"/>
    <n v="13974"/>
    <n v="27948"/>
    <n v="18290.79"/>
    <n v="9657.2099999999991"/>
    <n v="0.34554207814512661"/>
  </r>
  <r>
    <n v="2200"/>
    <x v="158"/>
    <x v="4"/>
    <x v="1"/>
    <x v="9"/>
    <x v="1"/>
    <x v="4"/>
    <n v="1"/>
    <n v="76562"/>
    <n v="76562"/>
    <n v="55234.15"/>
    <n v="21327.85"/>
    <n v="0.27856965596510014"/>
  </r>
  <r>
    <n v="2201"/>
    <x v="159"/>
    <x v="2"/>
    <x v="4"/>
    <x v="7"/>
    <x v="0"/>
    <x v="1"/>
    <n v="5"/>
    <n v="25527"/>
    <n v="127635"/>
    <n v="88174.96"/>
    <n v="39460.04"/>
    <n v="0.30916316057507737"/>
  </r>
  <r>
    <n v="2202"/>
    <x v="150"/>
    <x v="6"/>
    <x v="3"/>
    <x v="3"/>
    <x v="2"/>
    <x v="0"/>
    <n v="2"/>
    <n v="9849"/>
    <n v="19698"/>
    <n v="16493.490000000002"/>
    <n v="3204.51"/>
    <n v="0.16268199817240331"/>
  </r>
  <r>
    <n v="2203"/>
    <x v="87"/>
    <x v="5"/>
    <x v="4"/>
    <x v="7"/>
    <x v="0"/>
    <x v="3"/>
    <n v="1"/>
    <n v="16345"/>
    <n v="16345"/>
    <n v="12710.56"/>
    <n v="3634.44"/>
    <n v="0.22235790761700827"/>
  </r>
  <r>
    <n v="2204"/>
    <x v="160"/>
    <x v="2"/>
    <x v="0"/>
    <x v="6"/>
    <x v="1"/>
    <x v="4"/>
    <n v="1"/>
    <n v="53918"/>
    <n v="53918"/>
    <n v="41459.97"/>
    <n v="12458.03"/>
    <n v="0.23105512073889983"/>
  </r>
  <r>
    <n v="2205"/>
    <x v="161"/>
    <x v="2"/>
    <x v="3"/>
    <x v="3"/>
    <x v="2"/>
    <x v="1"/>
    <n v="4"/>
    <n v="40571"/>
    <n v="162284"/>
    <n v="110843.19"/>
    <n v="51440.81"/>
    <n v="0.31698017056518202"/>
  </r>
  <r>
    <n v="2206"/>
    <x v="33"/>
    <x v="3"/>
    <x v="1"/>
    <x v="9"/>
    <x v="1"/>
    <x v="2"/>
    <n v="1"/>
    <n v="61213"/>
    <n v="61213"/>
    <n v="42061.39"/>
    <n v="19151.61"/>
    <n v="0.31286834495940408"/>
  </r>
  <r>
    <n v="2207"/>
    <x v="162"/>
    <x v="3"/>
    <x v="4"/>
    <x v="4"/>
    <x v="1"/>
    <x v="2"/>
    <n v="5"/>
    <n v="33855"/>
    <n v="169275"/>
    <n v="114845.18"/>
    <n v="54429.82"/>
    <n v="0.32154671392704182"/>
  </r>
  <r>
    <n v="2208"/>
    <x v="137"/>
    <x v="4"/>
    <x v="4"/>
    <x v="7"/>
    <x v="0"/>
    <x v="1"/>
    <n v="5"/>
    <n v="62426"/>
    <n v="312130"/>
    <n v="253660.61"/>
    <n v="58469.39"/>
    <n v="0.18732383942588024"/>
  </r>
  <r>
    <n v="2209"/>
    <x v="163"/>
    <x v="4"/>
    <x v="4"/>
    <x v="4"/>
    <x v="1"/>
    <x v="4"/>
    <n v="3"/>
    <n v="14355"/>
    <n v="43065"/>
    <n v="36554.1"/>
    <n v="6510.9"/>
    <n v="0.15118773946360153"/>
  </r>
  <r>
    <n v="2210"/>
    <x v="164"/>
    <x v="5"/>
    <x v="2"/>
    <x v="5"/>
    <x v="1"/>
    <x v="1"/>
    <n v="4"/>
    <n v="65232"/>
    <n v="260928"/>
    <n v="208491.25"/>
    <n v="52436.75"/>
    <n v="0.20096252606082904"/>
  </r>
  <r>
    <n v="2211"/>
    <x v="165"/>
    <x v="3"/>
    <x v="2"/>
    <x v="5"/>
    <x v="1"/>
    <x v="5"/>
    <n v="4"/>
    <n v="30988"/>
    <n v="123952"/>
    <n v="86170.15"/>
    <n v="37781.85"/>
    <n v="0.30481032980508582"/>
  </r>
  <r>
    <n v="2212"/>
    <x v="137"/>
    <x v="1"/>
    <x v="1"/>
    <x v="1"/>
    <x v="0"/>
    <x v="3"/>
    <n v="1"/>
    <n v="24156"/>
    <n v="24156"/>
    <n v="17322.349999999999"/>
    <n v="6833.65"/>
    <n v="0.28289658883921176"/>
  </r>
  <r>
    <n v="2213"/>
    <x v="166"/>
    <x v="5"/>
    <x v="0"/>
    <x v="6"/>
    <x v="1"/>
    <x v="2"/>
    <n v="5"/>
    <n v="65154"/>
    <n v="325770"/>
    <n v="256428.79"/>
    <n v="69341.210000000006"/>
    <n v="0.21285327071246588"/>
  </r>
  <r>
    <n v="2214"/>
    <x v="167"/>
    <x v="1"/>
    <x v="5"/>
    <x v="8"/>
    <x v="1"/>
    <x v="4"/>
    <n v="2"/>
    <n v="19196"/>
    <n v="38392"/>
    <n v="31712.14"/>
    <n v="6679.86"/>
    <n v="0.17399093561158574"/>
  </r>
  <r>
    <n v="2215"/>
    <x v="130"/>
    <x v="0"/>
    <x v="1"/>
    <x v="9"/>
    <x v="1"/>
    <x v="4"/>
    <n v="2"/>
    <n v="28864"/>
    <n v="57728"/>
    <n v="46137.97"/>
    <n v="11590.03"/>
    <n v="0.20076964384700666"/>
  </r>
  <r>
    <n v="2216"/>
    <x v="168"/>
    <x v="0"/>
    <x v="0"/>
    <x v="0"/>
    <x v="0"/>
    <x v="0"/>
    <n v="5"/>
    <n v="39348"/>
    <n v="196740"/>
    <n v="142811.56"/>
    <n v="53928.44"/>
    <n v="0.27411019619802784"/>
  </r>
  <r>
    <n v="2217"/>
    <x v="66"/>
    <x v="2"/>
    <x v="5"/>
    <x v="8"/>
    <x v="1"/>
    <x v="0"/>
    <n v="1"/>
    <n v="11475"/>
    <n v="11475"/>
    <n v="8462.16"/>
    <n v="3012.84"/>
    <n v="0.26255686274509804"/>
  </r>
  <r>
    <n v="2218"/>
    <x v="43"/>
    <x v="4"/>
    <x v="4"/>
    <x v="7"/>
    <x v="0"/>
    <x v="4"/>
    <n v="4"/>
    <n v="18197"/>
    <n v="72788"/>
    <n v="55540.22"/>
    <n v="17247.78"/>
    <n v="0.23695911413969334"/>
  </r>
  <r>
    <n v="2219"/>
    <x v="169"/>
    <x v="0"/>
    <x v="4"/>
    <x v="4"/>
    <x v="1"/>
    <x v="2"/>
    <n v="1"/>
    <n v="21982"/>
    <n v="21982"/>
    <n v="17022.73"/>
    <n v="4959.2700000000004"/>
    <n v="0.22560595032299155"/>
  </r>
  <r>
    <n v="2220"/>
    <x v="78"/>
    <x v="1"/>
    <x v="4"/>
    <x v="4"/>
    <x v="1"/>
    <x v="3"/>
    <n v="1"/>
    <n v="12046"/>
    <n v="12046"/>
    <n v="7930.24"/>
    <n v="4115.76"/>
    <n v="0.34167026398804584"/>
  </r>
  <r>
    <n v="2221"/>
    <x v="4"/>
    <x v="5"/>
    <x v="1"/>
    <x v="9"/>
    <x v="1"/>
    <x v="2"/>
    <n v="1"/>
    <n v="55632"/>
    <n v="55632"/>
    <n v="38378.43"/>
    <n v="17253.57"/>
    <n v="0.31013751078515961"/>
  </r>
  <r>
    <n v="2222"/>
    <x v="170"/>
    <x v="5"/>
    <x v="5"/>
    <x v="8"/>
    <x v="1"/>
    <x v="2"/>
    <n v="4"/>
    <n v="22039"/>
    <n v="88156"/>
    <n v="61648.86"/>
    <n v="26507.14"/>
    <n v="0.30068446844230684"/>
  </r>
  <r>
    <n v="2223"/>
    <x v="73"/>
    <x v="3"/>
    <x v="4"/>
    <x v="7"/>
    <x v="0"/>
    <x v="2"/>
    <n v="1"/>
    <n v="45665"/>
    <n v="45665"/>
    <n v="34039.74"/>
    <n v="11625.26"/>
    <n v="0.25457702835869922"/>
  </r>
  <r>
    <n v="2224"/>
    <x v="171"/>
    <x v="3"/>
    <x v="4"/>
    <x v="4"/>
    <x v="1"/>
    <x v="5"/>
    <n v="3"/>
    <n v="49830"/>
    <n v="149490"/>
    <n v="107229.65"/>
    <n v="42260.35"/>
    <n v="0.28269683590875644"/>
  </r>
  <r>
    <n v="2225"/>
    <x v="123"/>
    <x v="3"/>
    <x v="0"/>
    <x v="6"/>
    <x v="1"/>
    <x v="4"/>
    <n v="3"/>
    <n v="14344"/>
    <n v="43032"/>
    <n v="34130.94"/>
    <n v="8901.06"/>
    <n v="0.2068474623535973"/>
  </r>
  <r>
    <n v="2226"/>
    <x v="81"/>
    <x v="1"/>
    <x v="0"/>
    <x v="0"/>
    <x v="0"/>
    <x v="1"/>
    <n v="4"/>
    <n v="45702"/>
    <n v="182808"/>
    <n v="141430.35"/>
    <n v="41377.65"/>
    <n v="0.22634485361690956"/>
  </r>
  <r>
    <n v="2227"/>
    <x v="172"/>
    <x v="6"/>
    <x v="1"/>
    <x v="9"/>
    <x v="1"/>
    <x v="0"/>
    <n v="4"/>
    <n v="75976"/>
    <n v="303904"/>
    <n v="244522.73"/>
    <n v="59381.27"/>
    <n v="0.19539482863009369"/>
  </r>
  <r>
    <n v="2228"/>
    <x v="152"/>
    <x v="2"/>
    <x v="0"/>
    <x v="0"/>
    <x v="0"/>
    <x v="5"/>
    <n v="5"/>
    <n v="36386"/>
    <n v="181930"/>
    <n v="144248.29999999999"/>
    <n v="37681.699999999997"/>
    <n v="0.20712196998845708"/>
  </r>
  <r>
    <n v="2229"/>
    <x v="173"/>
    <x v="4"/>
    <x v="1"/>
    <x v="1"/>
    <x v="0"/>
    <x v="4"/>
    <n v="4"/>
    <n v="8170"/>
    <n v="32680"/>
    <n v="24663.96"/>
    <n v="8016.04"/>
    <n v="0.24528886168910649"/>
  </r>
  <r>
    <n v="2230"/>
    <x v="74"/>
    <x v="6"/>
    <x v="0"/>
    <x v="6"/>
    <x v="1"/>
    <x v="2"/>
    <n v="3"/>
    <n v="72333"/>
    <n v="216999"/>
    <n v="145202.23000000001"/>
    <n v="71796.77"/>
    <n v="0.33086221595491228"/>
  </r>
  <r>
    <n v="2231"/>
    <x v="174"/>
    <x v="2"/>
    <x v="4"/>
    <x v="4"/>
    <x v="1"/>
    <x v="1"/>
    <n v="5"/>
    <n v="42154"/>
    <n v="210770"/>
    <n v="161365.82"/>
    <n v="49404.18"/>
    <n v="0.23439853869146463"/>
  </r>
  <r>
    <n v="2232"/>
    <x v="78"/>
    <x v="1"/>
    <x v="4"/>
    <x v="4"/>
    <x v="1"/>
    <x v="3"/>
    <n v="2"/>
    <n v="73315"/>
    <n v="146630"/>
    <n v="100171.49"/>
    <n v="46458.51"/>
    <n v="0.31684177862647483"/>
  </r>
  <r>
    <n v="2233"/>
    <x v="120"/>
    <x v="2"/>
    <x v="1"/>
    <x v="1"/>
    <x v="0"/>
    <x v="5"/>
    <n v="1"/>
    <n v="50813"/>
    <n v="50813"/>
    <n v="36642.44"/>
    <n v="14170.56"/>
    <n v="0.27887666542026646"/>
  </r>
  <r>
    <n v="2234"/>
    <x v="121"/>
    <x v="2"/>
    <x v="2"/>
    <x v="2"/>
    <x v="1"/>
    <x v="5"/>
    <n v="4"/>
    <n v="11299"/>
    <n v="45196"/>
    <n v="32739.53"/>
    <n v="12456.47"/>
    <n v="0.27561000973537481"/>
  </r>
  <r>
    <n v="2235"/>
    <x v="175"/>
    <x v="1"/>
    <x v="0"/>
    <x v="6"/>
    <x v="1"/>
    <x v="0"/>
    <n v="5"/>
    <n v="30427"/>
    <n v="152135"/>
    <n v="110428.87"/>
    <n v="41706.129999999997"/>
    <n v="0.27413895553291484"/>
  </r>
  <r>
    <n v="2236"/>
    <x v="33"/>
    <x v="2"/>
    <x v="4"/>
    <x v="7"/>
    <x v="0"/>
    <x v="3"/>
    <n v="5"/>
    <n v="12441"/>
    <n v="62205"/>
    <n v="44768.76"/>
    <n v="17436.240000000002"/>
    <n v="0.28030286954424888"/>
  </r>
  <r>
    <n v="2237"/>
    <x v="87"/>
    <x v="4"/>
    <x v="0"/>
    <x v="0"/>
    <x v="0"/>
    <x v="3"/>
    <n v="5"/>
    <n v="50380"/>
    <n v="251900"/>
    <n v="172276.96"/>
    <n v="79623.039999999994"/>
    <n v="0.31608987693529178"/>
  </r>
  <r>
    <n v="2238"/>
    <x v="176"/>
    <x v="5"/>
    <x v="2"/>
    <x v="5"/>
    <x v="1"/>
    <x v="4"/>
    <n v="2"/>
    <n v="24522"/>
    <n v="49044"/>
    <n v="35155.269999999997"/>
    <n v="13888.73"/>
    <n v="0.28318917706549218"/>
  </r>
  <r>
    <n v="2239"/>
    <x v="166"/>
    <x v="4"/>
    <x v="4"/>
    <x v="7"/>
    <x v="0"/>
    <x v="3"/>
    <n v="3"/>
    <n v="28262"/>
    <n v="84786"/>
    <n v="67376.649999999994"/>
    <n v="17409.349999999999"/>
    <n v="0.20533283796853252"/>
  </r>
  <r>
    <n v="2240"/>
    <x v="177"/>
    <x v="5"/>
    <x v="4"/>
    <x v="7"/>
    <x v="0"/>
    <x v="4"/>
    <n v="5"/>
    <n v="53695"/>
    <n v="268475"/>
    <n v="183149.58"/>
    <n v="85325.42"/>
    <n v="0.31781514107458797"/>
  </r>
  <r>
    <n v="2241"/>
    <x v="26"/>
    <x v="0"/>
    <x v="0"/>
    <x v="0"/>
    <x v="0"/>
    <x v="4"/>
    <n v="2"/>
    <n v="21321"/>
    <n v="42642"/>
    <n v="29384.02"/>
    <n v="13257.98"/>
    <n v="0.31091365320575959"/>
  </r>
  <r>
    <n v="2242"/>
    <x v="97"/>
    <x v="0"/>
    <x v="4"/>
    <x v="4"/>
    <x v="1"/>
    <x v="4"/>
    <n v="4"/>
    <n v="43890"/>
    <n v="175560"/>
    <n v="121002.66"/>
    <n v="54557.34"/>
    <n v="0.31076179084073818"/>
  </r>
  <r>
    <n v="2243"/>
    <x v="178"/>
    <x v="1"/>
    <x v="1"/>
    <x v="1"/>
    <x v="0"/>
    <x v="3"/>
    <n v="4"/>
    <n v="12447"/>
    <n v="49788"/>
    <n v="32487.84"/>
    <n v="17300.16"/>
    <n v="0.34747650036153288"/>
  </r>
  <r>
    <n v="2244"/>
    <x v="99"/>
    <x v="5"/>
    <x v="2"/>
    <x v="2"/>
    <x v="1"/>
    <x v="3"/>
    <n v="3"/>
    <n v="68722"/>
    <n v="206166"/>
    <n v="134919.87"/>
    <n v="71246.13"/>
    <n v="0.34557652571229014"/>
  </r>
  <r>
    <n v="2245"/>
    <x v="91"/>
    <x v="4"/>
    <x v="0"/>
    <x v="6"/>
    <x v="1"/>
    <x v="5"/>
    <n v="1"/>
    <n v="39756"/>
    <n v="39756"/>
    <n v="33061.120000000003"/>
    <n v="6694.88"/>
    <n v="0.16839923533554685"/>
  </r>
  <r>
    <n v="2246"/>
    <x v="179"/>
    <x v="5"/>
    <x v="2"/>
    <x v="2"/>
    <x v="1"/>
    <x v="1"/>
    <n v="4"/>
    <n v="37958"/>
    <n v="151832"/>
    <n v="118972.39"/>
    <n v="32859.61"/>
    <n v="0.21642084672532799"/>
  </r>
  <r>
    <n v="2247"/>
    <x v="180"/>
    <x v="6"/>
    <x v="3"/>
    <x v="3"/>
    <x v="2"/>
    <x v="3"/>
    <n v="2"/>
    <n v="24281"/>
    <n v="48562"/>
    <n v="35973.78"/>
    <n v="12588.22"/>
    <n v="0.25921955438408628"/>
  </r>
  <r>
    <n v="2248"/>
    <x v="78"/>
    <x v="1"/>
    <x v="0"/>
    <x v="0"/>
    <x v="0"/>
    <x v="5"/>
    <n v="1"/>
    <n v="62995"/>
    <n v="62995"/>
    <n v="44000.7"/>
    <n v="18994.3"/>
    <n v="0.30152075561552505"/>
  </r>
  <r>
    <n v="2249"/>
    <x v="3"/>
    <x v="5"/>
    <x v="2"/>
    <x v="2"/>
    <x v="1"/>
    <x v="5"/>
    <n v="2"/>
    <n v="40775"/>
    <n v="81550"/>
    <n v="66861.89"/>
    <n v="14688.11"/>
    <n v="0.18011171060698958"/>
  </r>
  <r>
    <n v="2250"/>
    <x v="64"/>
    <x v="2"/>
    <x v="2"/>
    <x v="5"/>
    <x v="1"/>
    <x v="2"/>
    <n v="4"/>
    <n v="75928"/>
    <n v="303712"/>
    <n v="238428.79999999999"/>
    <n v="65283.199999999997"/>
    <n v="0.21495100621641555"/>
  </r>
  <r>
    <n v="2251"/>
    <x v="160"/>
    <x v="5"/>
    <x v="4"/>
    <x v="4"/>
    <x v="1"/>
    <x v="4"/>
    <n v="4"/>
    <n v="72204"/>
    <n v="288816"/>
    <n v="240190.47"/>
    <n v="48625.53"/>
    <n v="0.16836162123982051"/>
  </r>
  <r>
    <n v="2252"/>
    <x v="44"/>
    <x v="3"/>
    <x v="1"/>
    <x v="1"/>
    <x v="0"/>
    <x v="4"/>
    <n v="2"/>
    <n v="29081"/>
    <n v="58162"/>
    <n v="46136.61"/>
    <n v="12025.39"/>
    <n v="0.2067568171658471"/>
  </r>
  <r>
    <n v="2253"/>
    <x v="181"/>
    <x v="4"/>
    <x v="4"/>
    <x v="7"/>
    <x v="0"/>
    <x v="4"/>
    <n v="5"/>
    <n v="67871"/>
    <n v="339355"/>
    <n v="257301.36"/>
    <n v="82053.64"/>
    <n v="0.24179293070678198"/>
  </r>
  <r>
    <n v="2254"/>
    <x v="142"/>
    <x v="4"/>
    <x v="2"/>
    <x v="5"/>
    <x v="1"/>
    <x v="2"/>
    <n v="3"/>
    <n v="76378"/>
    <n v="229134"/>
    <n v="164648.9"/>
    <n v="64485.1"/>
    <n v="0.28142964378922375"/>
  </r>
  <r>
    <n v="2255"/>
    <x v="182"/>
    <x v="0"/>
    <x v="2"/>
    <x v="5"/>
    <x v="1"/>
    <x v="5"/>
    <n v="4"/>
    <n v="75343"/>
    <n v="301372"/>
    <n v="241863.18"/>
    <n v="59508.82"/>
    <n v="0.19745968437678352"/>
  </r>
  <r>
    <n v="2256"/>
    <x v="183"/>
    <x v="5"/>
    <x v="1"/>
    <x v="1"/>
    <x v="0"/>
    <x v="1"/>
    <n v="1"/>
    <n v="41090"/>
    <n v="41090"/>
    <n v="28963.17"/>
    <n v="12126.83"/>
    <n v="0.29512849841810657"/>
  </r>
  <r>
    <n v="2257"/>
    <x v="184"/>
    <x v="3"/>
    <x v="2"/>
    <x v="2"/>
    <x v="1"/>
    <x v="2"/>
    <n v="4"/>
    <n v="63121"/>
    <n v="252484"/>
    <n v="195855.11"/>
    <n v="56628.89"/>
    <n v="0.22428704393149665"/>
  </r>
  <r>
    <n v="2258"/>
    <x v="104"/>
    <x v="4"/>
    <x v="0"/>
    <x v="0"/>
    <x v="0"/>
    <x v="4"/>
    <n v="2"/>
    <n v="47779"/>
    <n v="95558"/>
    <n v="76283.39"/>
    <n v="19274.61"/>
    <n v="0.20170587496598924"/>
  </r>
  <r>
    <n v="2259"/>
    <x v="185"/>
    <x v="0"/>
    <x v="5"/>
    <x v="8"/>
    <x v="1"/>
    <x v="0"/>
    <n v="2"/>
    <n v="29565"/>
    <n v="59130"/>
    <n v="39963.589999999997"/>
    <n v="19166.41"/>
    <n v="0.32414019956029089"/>
  </r>
  <r>
    <n v="2260"/>
    <x v="186"/>
    <x v="6"/>
    <x v="1"/>
    <x v="1"/>
    <x v="0"/>
    <x v="5"/>
    <n v="4"/>
    <n v="37620"/>
    <n v="150480"/>
    <n v="122329.39"/>
    <n v="28150.61"/>
    <n v="0.18707210260499735"/>
  </r>
  <r>
    <n v="2261"/>
    <x v="142"/>
    <x v="1"/>
    <x v="4"/>
    <x v="4"/>
    <x v="1"/>
    <x v="5"/>
    <n v="4"/>
    <n v="69354"/>
    <n v="277416"/>
    <n v="235589.36"/>
    <n v="41826.639999999999"/>
    <n v="0.15077226980419298"/>
  </r>
  <r>
    <n v="2262"/>
    <x v="187"/>
    <x v="5"/>
    <x v="5"/>
    <x v="8"/>
    <x v="1"/>
    <x v="3"/>
    <n v="3"/>
    <n v="38206"/>
    <n v="114618"/>
    <n v="80632.03"/>
    <n v="33985.97"/>
    <n v="0.29651511978921286"/>
  </r>
  <r>
    <n v="2263"/>
    <x v="100"/>
    <x v="5"/>
    <x v="2"/>
    <x v="2"/>
    <x v="1"/>
    <x v="4"/>
    <n v="2"/>
    <n v="71120"/>
    <n v="142240"/>
    <n v="92532.67"/>
    <n v="49707.33"/>
    <n v="0.34946098143982002"/>
  </r>
  <r>
    <n v="2264"/>
    <x v="165"/>
    <x v="1"/>
    <x v="0"/>
    <x v="6"/>
    <x v="1"/>
    <x v="3"/>
    <n v="3"/>
    <n v="49985"/>
    <n v="149955"/>
    <n v="111852.94"/>
    <n v="38102.06"/>
    <n v="0.25408996032142972"/>
  </r>
  <r>
    <n v="2265"/>
    <x v="38"/>
    <x v="4"/>
    <x v="2"/>
    <x v="2"/>
    <x v="1"/>
    <x v="5"/>
    <n v="3"/>
    <n v="28021"/>
    <n v="84063"/>
    <n v="70255.25"/>
    <n v="13807.75"/>
    <n v="0.16425478510164995"/>
  </r>
  <r>
    <n v="2266"/>
    <x v="188"/>
    <x v="3"/>
    <x v="2"/>
    <x v="2"/>
    <x v="1"/>
    <x v="2"/>
    <n v="3"/>
    <n v="26402"/>
    <n v="79206"/>
    <n v="59890"/>
    <n v="19316"/>
    <n v="0.24387041385753605"/>
  </r>
  <r>
    <n v="2267"/>
    <x v="189"/>
    <x v="5"/>
    <x v="0"/>
    <x v="0"/>
    <x v="0"/>
    <x v="1"/>
    <n v="1"/>
    <n v="35492"/>
    <n v="35492"/>
    <n v="29825.83"/>
    <n v="5666.17"/>
    <n v="0.15964639918854953"/>
  </r>
  <r>
    <n v="2268"/>
    <x v="181"/>
    <x v="1"/>
    <x v="0"/>
    <x v="6"/>
    <x v="1"/>
    <x v="1"/>
    <n v="5"/>
    <n v="26708"/>
    <n v="133540"/>
    <n v="109614.27"/>
    <n v="23925.73"/>
    <n v="0.17916526883330836"/>
  </r>
  <r>
    <n v="2269"/>
    <x v="174"/>
    <x v="6"/>
    <x v="4"/>
    <x v="4"/>
    <x v="1"/>
    <x v="0"/>
    <n v="2"/>
    <n v="35333"/>
    <n v="70666"/>
    <n v="58710.55"/>
    <n v="11955.45"/>
    <n v="0.16918249228766311"/>
  </r>
  <r>
    <n v="2270"/>
    <x v="61"/>
    <x v="0"/>
    <x v="5"/>
    <x v="8"/>
    <x v="1"/>
    <x v="1"/>
    <n v="5"/>
    <n v="19849"/>
    <n v="99245"/>
    <n v="77777.47"/>
    <n v="21467.53"/>
    <n v="0.21630842863620334"/>
  </r>
  <r>
    <n v="2271"/>
    <x v="97"/>
    <x v="6"/>
    <x v="5"/>
    <x v="8"/>
    <x v="1"/>
    <x v="5"/>
    <n v="2"/>
    <n v="72810"/>
    <n v="145620"/>
    <n v="114829.89"/>
    <n v="30790.11"/>
    <n v="0.21144149155335806"/>
  </r>
  <r>
    <n v="2272"/>
    <x v="190"/>
    <x v="3"/>
    <x v="5"/>
    <x v="8"/>
    <x v="1"/>
    <x v="5"/>
    <n v="1"/>
    <n v="23521"/>
    <n v="23521"/>
    <n v="16532.88"/>
    <n v="6988.12"/>
    <n v="0.29710131371965476"/>
  </r>
  <r>
    <n v="2273"/>
    <x v="82"/>
    <x v="6"/>
    <x v="4"/>
    <x v="7"/>
    <x v="0"/>
    <x v="3"/>
    <n v="4"/>
    <n v="15661"/>
    <n v="62644"/>
    <n v="46787.18"/>
    <n v="15856.82"/>
    <n v="0.25312591788519251"/>
  </r>
  <r>
    <n v="2274"/>
    <x v="17"/>
    <x v="5"/>
    <x v="4"/>
    <x v="4"/>
    <x v="1"/>
    <x v="0"/>
    <n v="4"/>
    <n v="29576"/>
    <n v="118304"/>
    <n v="89663.61"/>
    <n v="28640.39"/>
    <n v="0.24209147619691643"/>
  </r>
  <r>
    <n v="2275"/>
    <x v="191"/>
    <x v="0"/>
    <x v="1"/>
    <x v="9"/>
    <x v="1"/>
    <x v="4"/>
    <n v="5"/>
    <n v="73222"/>
    <n v="366110"/>
    <n v="286686.14"/>
    <n v="79423.86"/>
    <n v="0.2169398814563929"/>
  </r>
  <r>
    <n v="2276"/>
    <x v="192"/>
    <x v="1"/>
    <x v="2"/>
    <x v="5"/>
    <x v="1"/>
    <x v="0"/>
    <n v="1"/>
    <n v="31660"/>
    <n v="31660"/>
    <n v="24612.74"/>
    <n v="7047.26"/>
    <n v="0.22259191408717627"/>
  </r>
  <r>
    <n v="2277"/>
    <x v="4"/>
    <x v="3"/>
    <x v="1"/>
    <x v="9"/>
    <x v="1"/>
    <x v="1"/>
    <n v="3"/>
    <n v="20317"/>
    <n v="60951"/>
    <n v="45842.78"/>
    <n v="15108.22"/>
    <n v="0.24787485028957687"/>
  </r>
  <r>
    <n v="2278"/>
    <x v="73"/>
    <x v="6"/>
    <x v="2"/>
    <x v="5"/>
    <x v="1"/>
    <x v="3"/>
    <n v="2"/>
    <n v="62472"/>
    <n v="124944"/>
    <n v="96838.54"/>
    <n v="28105.46"/>
    <n v="0.22494445511589192"/>
  </r>
  <r>
    <n v="2279"/>
    <x v="147"/>
    <x v="3"/>
    <x v="0"/>
    <x v="0"/>
    <x v="0"/>
    <x v="5"/>
    <n v="3"/>
    <n v="70198"/>
    <n v="210594"/>
    <n v="169676.6"/>
    <n v="40917.4"/>
    <n v="0.1942951840983124"/>
  </r>
  <r>
    <n v="2280"/>
    <x v="140"/>
    <x v="6"/>
    <x v="5"/>
    <x v="8"/>
    <x v="1"/>
    <x v="3"/>
    <n v="4"/>
    <n v="52820"/>
    <n v="211280"/>
    <n v="155180.45000000001"/>
    <n v="56099.55"/>
    <n v="0.2655222926921621"/>
  </r>
  <r>
    <n v="2281"/>
    <x v="193"/>
    <x v="3"/>
    <x v="5"/>
    <x v="8"/>
    <x v="1"/>
    <x v="4"/>
    <n v="3"/>
    <n v="72714"/>
    <n v="218142"/>
    <n v="159406.38"/>
    <n v="58735.62"/>
    <n v="0.26925406386665568"/>
  </r>
  <r>
    <n v="2282"/>
    <x v="36"/>
    <x v="1"/>
    <x v="5"/>
    <x v="8"/>
    <x v="1"/>
    <x v="1"/>
    <n v="2"/>
    <n v="72512"/>
    <n v="145024"/>
    <n v="117235.98"/>
    <n v="27788.02"/>
    <n v="0.19160980251544571"/>
  </r>
  <r>
    <n v="2283"/>
    <x v="93"/>
    <x v="0"/>
    <x v="0"/>
    <x v="0"/>
    <x v="0"/>
    <x v="4"/>
    <n v="3"/>
    <n v="24720"/>
    <n v="74160"/>
    <n v="56902.239999999998"/>
    <n v="17257.759999999998"/>
    <n v="0.23270981661272921"/>
  </r>
  <r>
    <n v="2284"/>
    <x v="24"/>
    <x v="6"/>
    <x v="1"/>
    <x v="1"/>
    <x v="0"/>
    <x v="2"/>
    <n v="5"/>
    <n v="61219"/>
    <n v="306095"/>
    <n v="232350.66"/>
    <n v="73744.34"/>
    <n v="0.24091977980692267"/>
  </r>
  <r>
    <n v="2285"/>
    <x v="104"/>
    <x v="2"/>
    <x v="1"/>
    <x v="9"/>
    <x v="1"/>
    <x v="4"/>
    <n v="1"/>
    <n v="14081"/>
    <n v="14081"/>
    <n v="9687.56"/>
    <n v="4393.4399999999996"/>
    <n v="0.3120119309708117"/>
  </r>
  <r>
    <n v="2286"/>
    <x v="194"/>
    <x v="4"/>
    <x v="2"/>
    <x v="5"/>
    <x v="1"/>
    <x v="5"/>
    <n v="5"/>
    <n v="79257"/>
    <n v="396285"/>
    <n v="306069.94"/>
    <n v="90215.06"/>
    <n v="0.22765196764954515"/>
  </r>
  <r>
    <n v="2287"/>
    <x v="84"/>
    <x v="0"/>
    <x v="3"/>
    <x v="3"/>
    <x v="2"/>
    <x v="5"/>
    <n v="5"/>
    <n v="18879"/>
    <n v="94395"/>
    <n v="65368.56"/>
    <n v="29026.44"/>
    <n v="0.30749976163991738"/>
  </r>
  <r>
    <n v="2288"/>
    <x v="181"/>
    <x v="5"/>
    <x v="2"/>
    <x v="5"/>
    <x v="1"/>
    <x v="3"/>
    <n v="2"/>
    <n v="12846"/>
    <n v="25692"/>
    <n v="18866"/>
    <n v="6826"/>
    <n v="0.26568581659660595"/>
  </r>
  <r>
    <n v="2289"/>
    <x v="154"/>
    <x v="5"/>
    <x v="1"/>
    <x v="1"/>
    <x v="0"/>
    <x v="2"/>
    <n v="2"/>
    <n v="48546"/>
    <n v="97092"/>
    <n v="74024.91"/>
    <n v="23067.09"/>
    <n v="0.23757971820541343"/>
  </r>
  <r>
    <n v="2290"/>
    <x v="182"/>
    <x v="6"/>
    <x v="0"/>
    <x v="6"/>
    <x v="1"/>
    <x v="4"/>
    <n v="4"/>
    <n v="12488"/>
    <n v="49952"/>
    <n v="35650.51"/>
    <n v="14301.49"/>
    <n v="0.28630465246636772"/>
  </r>
  <r>
    <n v="2291"/>
    <x v="176"/>
    <x v="4"/>
    <x v="2"/>
    <x v="2"/>
    <x v="1"/>
    <x v="5"/>
    <n v="1"/>
    <n v="73243"/>
    <n v="73243"/>
    <n v="55921.14"/>
    <n v="17321.86"/>
    <n v="0.23649850497658481"/>
  </r>
  <r>
    <n v="2292"/>
    <x v="110"/>
    <x v="6"/>
    <x v="1"/>
    <x v="9"/>
    <x v="1"/>
    <x v="2"/>
    <n v="5"/>
    <n v="61038"/>
    <n v="305190"/>
    <n v="225625.24"/>
    <n v="79564.759999999995"/>
    <n v="0.26070565876994656"/>
  </r>
  <r>
    <n v="2293"/>
    <x v="195"/>
    <x v="5"/>
    <x v="1"/>
    <x v="9"/>
    <x v="1"/>
    <x v="0"/>
    <n v="5"/>
    <n v="28354"/>
    <n v="141770"/>
    <n v="105631.36"/>
    <n v="36138.639999999999"/>
    <n v="0.25491034774634974"/>
  </r>
  <r>
    <n v="2294"/>
    <x v="20"/>
    <x v="4"/>
    <x v="2"/>
    <x v="2"/>
    <x v="1"/>
    <x v="2"/>
    <n v="4"/>
    <n v="35823"/>
    <n v="143292"/>
    <n v="118811.2"/>
    <n v="24480.799999999999"/>
    <n v="0.17084554615749659"/>
  </r>
  <r>
    <n v="2295"/>
    <x v="196"/>
    <x v="2"/>
    <x v="1"/>
    <x v="9"/>
    <x v="1"/>
    <x v="2"/>
    <n v="1"/>
    <n v="19552"/>
    <n v="19552"/>
    <n v="13562.23"/>
    <n v="5989.77"/>
    <n v="0.30635075695581016"/>
  </r>
  <r>
    <n v="2296"/>
    <x v="57"/>
    <x v="0"/>
    <x v="1"/>
    <x v="1"/>
    <x v="0"/>
    <x v="0"/>
    <n v="3"/>
    <n v="39754"/>
    <n v="119262"/>
    <n v="88272.41"/>
    <n v="30989.59"/>
    <n v="0.25984462779426809"/>
  </r>
  <r>
    <n v="2297"/>
    <x v="93"/>
    <x v="3"/>
    <x v="4"/>
    <x v="4"/>
    <x v="1"/>
    <x v="4"/>
    <n v="2"/>
    <n v="19048"/>
    <n v="38096"/>
    <n v="26995.919999999998"/>
    <n v="11100.08"/>
    <n v="0.29137127257454853"/>
  </r>
  <r>
    <n v="2298"/>
    <x v="139"/>
    <x v="5"/>
    <x v="5"/>
    <x v="8"/>
    <x v="1"/>
    <x v="0"/>
    <n v="3"/>
    <n v="14902"/>
    <n v="44706"/>
    <n v="35471.620000000003"/>
    <n v="9234.3799999999992"/>
    <n v="0.20655795642643043"/>
  </r>
  <r>
    <n v="2299"/>
    <x v="0"/>
    <x v="3"/>
    <x v="1"/>
    <x v="9"/>
    <x v="1"/>
    <x v="2"/>
    <n v="5"/>
    <n v="18443"/>
    <n v="92215"/>
    <n v="67113.13"/>
    <n v="25101.87"/>
    <n v="0.27221026947893506"/>
  </r>
  <r>
    <n v="2300"/>
    <x v="197"/>
    <x v="5"/>
    <x v="0"/>
    <x v="6"/>
    <x v="1"/>
    <x v="1"/>
    <n v="4"/>
    <n v="15835"/>
    <n v="63340"/>
    <n v="45177.63"/>
    <n v="18162.37"/>
    <n v="0.28674407957057152"/>
  </r>
  <r>
    <n v="2301"/>
    <x v="187"/>
    <x v="5"/>
    <x v="3"/>
    <x v="3"/>
    <x v="2"/>
    <x v="0"/>
    <n v="2"/>
    <n v="26993"/>
    <n v="53986"/>
    <n v="45524.83"/>
    <n v="8461.17"/>
    <n v="0.15672896676916237"/>
  </r>
  <r>
    <n v="2302"/>
    <x v="198"/>
    <x v="1"/>
    <x v="1"/>
    <x v="1"/>
    <x v="0"/>
    <x v="5"/>
    <n v="4"/>
    <n v="70516"/>
    <n v="282064"/>
    <n v="205102.13"/>
    <n v="76961.87"/>
    <n v="0.27285250865051902"/>
  </r>
  <r>
    <n v="2303"/>
    <x v="199"/>
    <x v="1"/>
    <x v="2"/>
    <x v="5"/>
    <x v="1"/>
    <x v="1"/>
    <n v="3"/>
    <n v="44687"/>
    <n v="134061"/>
    <n v="88765.48"/>
    <n v="45295.519999999997"/>
    <n v="0.33787246104385316"/>
  </r>
  <r>
    <n v="2304"/>
    <x v="189"/>
    <x v="1"/>
    <x v="3"/>
    <x v="3"/>
    <x v="2"/>
    <x v="1"/>
    <n v="2"/>
    <n v="48448"/>
    <n v="96896"/>
    <n v="74312.800000000003"/>
    <n v="22583.200000000001"/>
    <n v="0.23306638044914135"/>
  </r>
  <r>
    <n v="2305"/>
    <x v="200"/>
    <x v="2"/>
    <x v="4"/>
    <x v="7"/>
    <x v="0"/>
    <x v="0"/>
    <n v="4"/>
    <n v="38717"/>
    <n v="154868"/>
    <n v="125674.81"/>
    <n v="29193.19"/>
    <n v="0.18850369346798562"/>
  </r>
  <r>
    <n v="2306"/>
    <x v="201"/>
    <x v="5"/>
    <x v="0"/>
    <x v="6"/>
    <x v="1"/>
    <x v="2"/>
    <n v="3"/>
    <n v="43130"/>
    <n v="129390"/>
    <n v="95036.96"/>
    <n v="34353.040000000001"/>
    <n v="0.26549996135713733"/>
  </r>
  <r>
    <n v="2307"/>
    <x v="10"/>
    <x v="6"/>
    <x v="3"/>
    <x v="3"/>
    <x v="2"/>
    <x v="2"/>
    <n v="2"/>
    <n v="27267"/>
    <n v="54534"/>
    <n v="38433.910000000003"/>
    <n v="16100.09"/>
    <n v="0.29523031503282354"/>
  </r>
  <r>
    <n v="2308"/>
    <x v="174"/>
    <x v="5"/>
    <x v="5"/>
    <x v="8"/>
    <x v="1"/>
    <x v="0"/>
    <n v="5"/>
    <n v="19149"/>
    <n v="95745"/>
    <n v="72574.350000000006"/>
    <n v="23170.65"/>
    <n v="0.24200375998746673"/>
  </r>
  <r>
    <n v="2309"/>
    <x v="202"/>
    <x v="6"/>
    <x v="2"/>
    <x v="5"/>
    <x v="1"/>
    <x v="0"/>
    <n v="2"/>
    <n v="48562"/>
    <n v="97124"/>
    <n v="74919.48"/>
    <n v="22204.52"/>
    <n v="0.22862032041513941"/>
  </r>
  <r>
    <n v="2310"/>
    <x v="7"/>
    <x v="2"/>
    <x v="2"/>
    <x v="2"/>
    <x v="1"/>
    <x v="5"/>
    <n v="3"/>
    <n v="9228"/>
    <n v="27684"/>
    <n v="22377.89"/>
    <n v="5306.11"/>
    <n v="0.19166702788614362"/>
  </r>
  <r>
    <n v="2311"/>
    <x v="60"/>
    <x v="4"/>
    <x v="2"/>
    <x v="5"/>
    <x v="1"/>
    <x v="2"/>
    <n v="3"/>
    <n v="16209"/>
    <n v="48627"/>
    <n v="33872.269999999997"/>
    <n v="14754.73"/>
    <n v="0.30342669710243281"/>
  </r>
  <r>
    <n v="2312"/>
    <x v="203"/>
    <x v="4"/>
    <x v="3"/>
    <x v="3"/>
    <x v="2"/>
    <x v="4"/>
    <n v="3"/>
    <n v="70467"/>
    <n v="211401"/>
    <n v="158811.56"/>
    <n v="52589.440000000002"/>
    <n v="0.24876627830521145"/>
  </r>
  <r>
    <n v="2313"/>
    <x v="186"/>
    <x v="0"/>
    <x v="4"/>
    <x v="7"/>
    <x v="0"/>
    <x v="3"/>
    <n v="1"/>
    <n v="31683"/>
    <n v="31683"/>
    <n v="25700.39"/>
    <n v="5982.61"/>
    <n v="0.18882713126913486"/>
  </r>
  <r>
    <n v="2314"/>
    <x v="204"/>
    <x v="1"/>
    <x v="0"/>
    <x v="6"/>
    <x v="1"/>
    <x v="1"/>
    <n v="3"/>
    <n v="60755"/>
    <n v="182265"/>
    <n v="146892.41"/>
    <n v="35372.589999999997"/>
    <n v="0.19407231229254107"/>
  </r>
  <r>
    <n v="2315"/>
    <x v="111"/>
    <x v="0"/>
    <x v="4"/>
    <x v="4"/>
    <x v="1"/>
    <x v="2"/>
    <n v="3"/>
    <n v="21909"/>
    <n v="65727"/>
    <n v="47608.28"/>
    <n v="18118.72"/>
    <n v="0.27566631673437098"/>
  </r>
  <r>
    <n v="2316"/>
    <x v="53"/>
    <x v="6"/>
    <x v="2"/>
    <x v="5"/>
    <x v="1"/>
    <x v="2"/>
    <n v="3"/>
    <n v="11979"/>
    <n v="35937"/>
    <n v="25838.14"/>
    <n v="10098.86"/>
    <n v="0.28101566630492253"/>
  </r>
  <r>
    <n v="2317"/>
    <x v="54"/>
    <x v="4"/>
    <x v="5"/>
    <x v="8"/>
    <x v="1"/>
    <x v="2"/>
    <n v="1"/>
    <n v="34823"/>
    <n v="34823"/>
    <n v="29532.720000000001"/>
    <n v="5290.28"/>
    <n v="0.15191913390575193"/>
  </r>
  <r>
    <n v="2318"/>
    <x v="131"/>
    <x v="2"/>
    <x v="3"/>
    <x v="3"/>
    <x v="2"/>
    <x v="1"/>
    <n v="2"/>
    <n v="42288"/>
    <n v="84576"/>
    <n v="70629.34"/>
    <n v="13946.66"/>
    <n v="0.16490091751797201"/>
  </r>
  <r>
    <n v="2319"/>
    <x v="129"/>
    <x v="2"/>
    <x v="0"/>
    <x v="6"/>
    <x v="1"/>
    <x v="2"/>
    <n v="5"/>
    <n v="25157"/>
    <n v="125785"/>
    <n v="88150.02"/>
    <n v="37634.980000000003"/>
    <n v="0.29920085860794216"/>
  </r>
  <r>
    <n v="2320"/>
    <x v="205"/>
    <x v="1"/>
    <x v="1"/>
    <x v="9"/>
    <x v="1"/>
    <x v="3"/>
    <n v="4"/>
    <n v="18965"/>
    <n v="75860"/>
    <n v="49726.52"/>
    <n v="26133.48"/>
    <n v="0.3444961771684682"/>
  </r>
  <r>
    <n v="2321"/>
    <x v="206"/>
    <x v="4"/>
    <x v="1"/>
    <x v="9"/>
    <x v="1"/>
    <x v="4"/>
    <n v="4"/>
    <n v="71810"/>
    <n v="287240"/>
    <n v="241121.04"/>
    <n v="46118.96"/>
    <n v="0.16055897507310959"/>
  </r>
  <r>
    <n v="2322"/>
    <x v="142"/>
    <x v="6"/>
    <x v="1"/>
    <x v="1"/>
    <x v="0"/>
    <x v="1"/>
    <n v="4"/>
    <n v="23717"/>
    <n v="94868"/>
    <n v="75066.7"/>
    <n v="19801.3"/>
    <n v="0.20872475439558122"/>
  </r>
  <r>
    <n v="2323"/>
    <x v="188"/>
    <x v="1"/>
    <x v="1"/>
    <x v="1"/>
    <x v="0"/>
    <x v="4"/>
    <n v="2"/>
    <n v="19768"/>
    <n v="39536"/>
    <n v="33261"/>
    <n v="6275"/>
    <n v="0.15871610683933629"/>
  </r>
  <r>
    <n v="2324"/>
    <x v="18"/>
    <x v="2"/>
    <x v="5"/>
    <x v="8"/>
    <x v="1"/>
    <x v="3"/>
    <n v="2"/>
    <n v="56616"/>
    <n v="113232"/>
    <n v="95471.98"/>
    <n v="17760.02"/>
    <n v="0.15684629786632753"/>
  </r>
  <r>
    <n v="2325"/>
    <x v="123"/>
    <x v="0"/>
    <x v="4"/>
    <x v="7"/>
    <x v="0"/>
    <x v="2"/>
    <n v="3"/>
    <n v="15769"/>
    <n v="47307"/>
    <n v="39290.870000000003"/>
    <n v="8016.13"/>
    <n v="0.16944913014987212"/>
  </r>
  <r>
    <n v="2326"/>
    <x v="207"/>
    <x v="6"/>
    <x v="1"/>
    <x v="9"/>
    <x v="1"/>
    <x v="2"/>
    <n v="5"/>
    <n v="71363"/>
    <n v="356815"/>
    <n v="235909.51"/>
    <n v="120905.49"/>
    <n v="0.33884643302551742"/>
  </r>
  <r>
    <n v="2327"/>
    <x v="112"/>
    <x v="1"/>
    <x v="4"/>
    <x v="4"/>
    <x v="1"/>
    <x v="2"/>
    <n v="3"/>
    <n v="65839"/>
    <n v="197517"/>
    <n v="158325.59"/>
    <n v="39191.410000000003"/>
    <n v="0.19842043975961565"/>
  </r>
  <r>
    <n v="2328"/>
    <x v="6"/>
    <x v="2"/>
    <x v="1"/>
    <x v="1"/>
    <x v="0"/>
    <x v="4"/>
    <n v="3"/>
    <n v="59124"/>
    <n v="177372"/>
    <n v="119695.72"/>
    <n v="57676.28"/>
    <n v="0.32517127844304622"/>
  </r>
  <r>
    <n v="2329"/>
    <x v="208"/>
    <x v="2"/>
    <x v="2"/>
    <x v="5"/>
    <x v="1"/>
    <x v="3"/>
    <n v="2"/>
    <n v="26762"/>
    <n v="53524"/>
    <n v="44577.98"/>
    <n v="8946.02"/>
    <n v="0.16714034825498841"/>
  </r>
  <r>
    <n v="2330"/>
    <x v="209"/>
    <x v="2"/>
    <x v="1"/>
    <x v="9"/>
    <x v="1"/>
    <x v="5"/>
    <n v="1"/>
    <n v="28572"/>
    <n v="28572"/>
    <n v="23872.93"/>
    <n v="4699.07"/>
    <n v="0.16446416071678566"/>
  </r>
  <r>
    <n v="2331"/>
    <x v="210"/>
    <x v="3"/>
    <x v="4"/>
    <x v="7"/>
    <x v="0"/>
    <x v="1"/>
    <n v="2"/>
    <n v="66621"/>
    <n v="133242"/>
    <n v="112135.24"/>
    <n v="21106.76"/>
    <n v="0.15840921030906169"/>
  </r>
  <r>
    <n v="2332"/>
    <x v="144"/>
    <x v="6"/>
    <x v="2"/>
    <x v="2"/>
    <x v="1"/>
    <x v="2"/>
    <n v="1"/>
    <n v="67288"/>
    <n v="67288"/>
    <n v="56822.18"/>
    <n v="10465.82"/>
    <n v="0.15553768874093449"/>
  </r>
  <r>
    <n v="2333"/>
    <x v="211"/>
    <x v="6"/>
    <x v="0"/>
    <x v="0"/>
    <x v="0"/>
    <x v="3"/>
    <n v="1"/>
    <n v="55976"/>
    <n v="55976"/>
    <n v="37982.720000000001"/>
    <n v="17993.28"/>
    <n v="0.32144633414320423"/>
  </r>
  <r>
    <n v="2334"/>
    <x v="205"/>
    <x v="5"/>
    <x v="4"/>
    <x v="7"/>
    <x v="0"/>
    <x v="2"/>
    <n v="4"/>
    <n v="26967"/>
    <n v="107868"/>
    <n v="79584.39"/>
    <n v="28283.61"/>
    <n v="0.26220575147402381"/>
  </r>
  <r>
    <n v="2335"/>
    <x v="109"/>
    <x v="1"/>
    <x v="4"/>
    <x v="4"/>
    <x v="1"/>
    <x v="0"/>
    <n v="2"/>
    <n v="28406"/>
    <n v="56812"/>
    <n v="37216.629999999997"/>
    <n v="19595.37"/>
    <n v="0.34491603886502847"/>
  </r>
  <r>
    <n v="2336"/>
    <x v="124"/>
    <x v="6"/>
    <x v="3"/>
    <x v="3"/>
    <x v="2"/>
    <x v="4"/>
    <n v="2"/>
    <n v="42166"/>
    <n v="84332"/>
    <n v="63097.32"/>
    <n v="21234.68"/>
    <n v="0.25179860551154959"/>
  </r>
  <r>
    <n v="2337"/>
    <x v="212"/>
    <x v="2"/>
    <x v="0"/>
    <x v="0"/>
    <x v="0"/>
    <x v="0"/>
    <n v="2"/>
    <n v="75299"/>
    <n v="150598"/>
    <n v="99601.09"/>
    <n v="50996.91"/>
    <n v="0.33862939746875792"/>
  </r>
  <r>
    <n v="2338"/>
    <x v="85"/>
    <x v="4"/>
    <x v="4"/>
    <x v="7"/>
    <x v="0"/>
    <x v="0"/>
    <n v="1"/>
    <n v="41789"/>
    <n v="41789"/>
    <n v="33471.74"/>
    <n v="8317.26"/>
    <n v="0.19902988824810358"/>
  </r>
  <r>
    <n v="2339"/>
    <x v="34"/>
    <x v="2"/>
    <x v="0"/>
    <x v="0"/>
    <x v="0"/>
    <x v="4"/>
    <n v="2"/>
    <n v="20788"/>
    <n v="41576"/>
    <n v="30268.54"/>
    <n v="11307.46"/>
    <n v="0.27197084856648063"/>
  </r>
  <r>
    <n v="2340"/>
    <x v="213"/>
    <x v="0"/>
    <x v="2"/>
    <x v="2"/>
    <x v="1"/>
    <x v="2"/>
    <n v="2"/>
    <n v="10100"/>
    <n v="20200"/>
    <n v="14916.12"/>
    <n v="5283.88"/>
    <n v="0.2615782178217822"/>
  </r>
  <r>
    <n v="2341"/>
    <x v="42"/>
    <x v="1"/>
    <x v="5"/>
    <x v="8"/>
    <x v="1"/>
    <x v="1"/>
    <n v="4"/>
    <n v="8252"/>
    <n v="33008"/>
    <n v="26667.59"/>
    <n v="6340.41"/>
    <n v="0.19208706980126031"/>
  </r>
  <r>
    <n v="2342"/>
    <x v="80"/>
    <x v="1"/>
    <x v="5"/>
    <x v="8"/>
    <x v="1"/>
    <x v="3"/>
    <n v="4"/>
    <n v="13314"/>
    <n v="53256"/>
    <n v="44330.1"/>
    <n v="8925.9"/>
    <n v="0.16760365029292473"/>
  </r>
  <r>
    <n v="2343"/>
    <x v="205"/>
    <x v="1"/>
    <x v="4"/>
    <x v="7"/>
    <x v="0"/>
    <x v="1"/>
    <n v="2"/>
    <n v="31609"/>
    <n v="63218"/>
    <n v="47687.27"/>
    <n v="15530.73"/>
    <n v="0.24566942959283747"/>
  </r>
  <r>
    <n v="2344"/>
    <x v="214"/>
    <x v="5"/>
    <x v="4"/>
    <x v="7"/>
    <x v="0"/>
    <x v="3"/>
    <n v="5"/>
    <n v="18389"/>
    <n v="91945"/>
    <n v="75008.2"/>
    <n v="16936.8"/>
    <n v="0.18420577519169068"/>
  </r>
  <r>
    <n v="2345"/>
    <x v="215"/>
    <x v="5"/>
    <x v="3"/>
    <x v="3"/>
    <x v="2"/>
    <x v="0"/>
    <n v="2"/>
    <n v="35005"/>
    <n v="70010"/>
    <n v="47425.35"/>
    <n v="22584.65"/>
    <n v="0.32259177260391375"/>
  </r>
  <r>
    <n v="2346"/>
    <x v="51"/>
    <x v="4"/>
    <x v="4"/>
    <x v="7"/>
    <x v="0"/>
    <x v="4"/>
    <n v="1"/>
    <n v="16610"/>
    <n v="16610"/>
    <n v="13096.13"/>
    <n v="3513.87"/>
    <n v="0.21155147501505117"/>
  </r>
  <r>
    <n v="2347"/>
    <x v="70"/>
    <x v="2"/>
    <x v="5"/>
    <x v="8"/>
    <x v="1"/>
    <x v="5"/>
    <n v="5"/>
    <n v="53566"/>
    <n v="267830"/>
    <n v="192045.86"/>
    <n v="75784.14"/>
    <n v="0.28295612888772731"/>
  </r>
  <r>
    <n v="2348"/>
    <x v="216"/>
    <x v="3"/>
    <x v="2"/>
    <x v="5"/>
    <x v="1"/>
    <x v="2"/>
    <n v="4"/>
    <n v="25469"/>
    <n v="101876"/>
    <n v="83986.85"/>
    <n v="17889.150000000001"/>
    <n v="0.175597294750481"/>
  </r>
  <r>
    <n v="2349"/>
    <x v="204"/>
    <x v="0"/>
    <x v="0"/>
    <x v="6"/>
    <x v="1"/>
    <x v="3"/>
    <n v="3"/>
    <n v="12806"/>
    <n v="38418"/>
    <n v="26227.88"/>
    <n v="12190.12"/>
    <n v="0.31730230621063044"/>
  </r>
  <r>
    <n v="2350"/>
    <x v="74"/>
    <x v="4"/>
    <x v="0"/>
    <x v="0"/>
    <x v="0"/>
    <x v="1"/>
    <n v="3"/>
    <n v="76134"/>
    <n v="228402"/>
    <n v="191040.86"/>
    <n v="37361.14"/>
    <n v="0.16357623838670415"/>
  </r>
  <r>
    <n v="2351"/>
    <x v="183"/>
    <x v="3"/>
    <x v="5"/>
    <x v="8"/>
    <x v="1"/>
    <x v="2"/>
    <n v="2"/>
    <n v="50071"/>
    <n v="100142"/>
    <n v="80696.91"/>
    <n v="19445.09"/>
    <n v="0.19417517125681533"/>
  </r>
  <r>
    <n v="2352"/>
    <x v="193"/>
    <x v="4"/>
    <x v="2"/>
    <x v="2"/>
    <x v="1"/>
    <x v="2"/>
    <n v="1"/>
    <n v="72854"/>
    <n v="72854"/>
    <n v="53860.07"/>
    <n v="18993.93"/>
    <n v="0.26071224641062946"/>
  </r>
  <r>
    <n v="2353"/>
    <x v="217"/>
    <x v="4"/>
    <x v="1"/>
    <x v="9"/>
    <x v="1"/>
    <x v="1"/>
    <n v="1"/>
    <n v="39920"/>
    <n v="39920"/>
    <n v="33671.93"/>
    <n v="6248.07"/>
    <n v="0.15651477955911822"/>
  </r>
  <r>
    <n v="2354"/>
    <x v="218"/>
    <x v="4"/>
    <x v="4"/>
    <x v="7"/>
    <x v="0"/>
    <x v="3"/>
    <n v="1"/>
    <n v="48883"/>
    <n v="48883"/>
    <n v="34222.58"/>
    <n v="14660.42"/>
    <n v="0.29990835259701737"/>
  </r>
  <r>
    <n v="2355"/>
    <x v="219"/>
    <x v="3"/>
    <x v="1"/>
    <x v="9"/>
    <x v="1"/>
    <x v="2"/>
    <n v="2"/>
    <n v="42264"/>
    <n v="84528"/>
    <n v="55242.22"/>
    <n v="29285.78"/>
    <n v="0.3464624739731213"/>
  </r>
  <r>
    <n v="2356"/>
    <x v="220"/>
    <x v="5"/>
    <x v="3"/>
    <x v="3"/>
    <x v="2"/>
    <x v="1"/>
    <n v="5"/>
    <n v="39243"/>
    <n v="196215"/>
    <n v="155113.66"/>
    <n v="41101.339999999997"/>
    <n v="0.20947093749203677"/>
  </r>
  <r>
    <n v="2357"/>
    <x v="146"/>
    <x v="1"/>
    <x v="1"/>
    <x v="1"/>
    <x v="0"/>
    <x v="2"/>
    <n v="1"/>
    <n v="43784"/>
    <n v="43784"/>
    <n v="29537.119999999999"/>
    <n v="14246.88"/>
    <n v="0.32539009683902792"/>
  </r>
  <r>
    <n v="2358"/>
    <x v="94"/>
    <x v="4"/>
    <x v="2"/>
    <x v="5"/>
    <x v="1"/>
    <x v="1"/>
    <n v="1"/>
    <n v="23995"/>
    <n v="23995"/>
    <n v="16180.04"/>
    <n v="7814.96"/>
    <n v="0.32569118566367994"/>
  </r>
  <r>
    <n v="2359"/>
    <x v="221"/>
    <x v="4"/>
    <x v="4"/>
    <x v="4"/>
    <x v="1"/>
    <x v="1"/>
    <n v="2"/>
    <n v="27296"/>
    <n v="54592"/>
    <n v="42786.76"/>
    <n v="11805.24"/>
    <n v="0.21624487104337631"/>
  </r>
  <r>
    <n v="2360"/>
    <x v="197"/>
    <x v="5"/>
    <x v="2"/>
    <x v="5"/>
    <x v="1"/>
    <x v="0"/>
    <n v="1"/>
    <n v="58953"/>
    <n v="58953"/>
    <n v="46500.58"/>
    <n v="12452.42"/>
    <n v="0.21122623106542501"/>
  </r>
  <r>
    <n v="2361"/>
    <x v="222"/>
    <x v="6"/>
    <x v="3"/>
    <x v="3"/>
    <x v="2"/>
    <x v="1"/>
    <n v="1"/>
    <n v="59856"/>
    <n v="59856"/>
    <n v="50524.35"/>
    <n v="9331.65"/>
    <n v="0.1559016639935846"/>
  </r>
  <r>
    <n v="2362"/>
    <x v="223"/>
    <x v="6"/>
    <x v="1"/>
    <x v="9"/>
    <x v="1"/>
    <x v="4"/>
    <n v="4"/>
    <n v="39506"/>
    <n v="158024"/>
    <n v="129218.39"/>
    <n v="28805.61"/>
    <n v="0.18228629828380499"/>
  </r>
  <r>
    <n v="2363"/>
    <x v="201"/>
    <x v="6"/>
    <x v="2"/>
    <x v="2"/>
    <x v="1"/>
    <x v="1"/>
    <n v="4"/>
    <n v="15019"/>
    <n v="60076"/>
    <n v="42952.9"/>
    <n v="17123.099999999999"/>
    <n v="0.28502396963845794"/>
  </r>
  <r>
    <n v="2364"/>
    <x v="95"/>
    <x v="5"/>
    <x v="4"/>
    <x v="4"/>
    <x v="1"/>
    <x v="4"/>
    <n v="4"/>
    <n v="9514"/>
    <n v="38056"/>
    <n v="27510.16"/>
    <n v="10545.84"/>
    <n v="0.2771137271389531"/>
  </r>
  <r>
    <n v="2365"/>
    <x v="224"/>
    <x v="0"/>
    <x v="5"/>
    <x v="8"/>
    <x v="1"/>
    <x v="2"/>
    <n v="4"/>
    <n v="34317"/>
    <n v="137268"/>
    <n v="103082.08"/>
    <n v="34185.919999999998"/>
    <n v="0.2490450796981088"/>
  </r>
  <r>
    <n v="2366"/>
    <x v="110"/>
    <x v="0"/>
    <x v="1"/>
    <x v="9"/>
    <x v="1"/>
    <x v="3"/>
    <n v="4"/>
    <n v="67471"/>
    <n v="269884"/>
    <n v="209603.33"/>
    <n v="60280.67"/>
    <n v="0.22335770182745179"/>
  </r>
  <r>
    <n v="2367"/>
    <x v="225"/>
    <x v="3"/>
    <x v="1"/>
    <x v="9"/>
    <x v="1"/>
    <x v="5"/>
    <n v="3"/>
    <n v="43839"/>
    <n v="131517"/>
    <n v="102011.14"/>
    <n v="29505.86"/>
    <n v="0.22435016005535408"/>
  </r>
  <r>
    <n v="2368"/>
    <x v="106"/>
    <x v="4"/>
    <x v="1"/>
    <x v="9"/>
    <x v="1"/>
    <x v="2"/>
    <n v="1"/>
    <n v="76197"/>
    <n v="76197"/>
    <n v="49736.33"/>
    <n v="26460.67"/>
    <n v="0.34726655905088122"/>
  </r>
  <r>
    <n v="2369"/>
    <x v="58"/>
    <x v="3"/>
    <x v="4"/>
    <x v="7"/>
    <x v="0"/>
    <x v="4"/>
    <n v="3"/>
    <n v="53554"/>
    <n v="160662"/>
    <n v="125236.67"/>
    <n v="35425.33"/>
    <n v="0.22049601025755936"/>
  </r>
  <r>
    <n v="2370"/>
    <x v="67"/>
    <x v="3"/>
    <x v="1"/>
    <x v="1"/>
    <x v="0"/>
    <x v="1"/>
    <n v="3"/>
    <n v="19072"/>
    <n v="57216"/>
    <n v="42527.71"/>
    <n v="14688.29"/>
    <n v="0.2567164779082774"/>
  </r>
  <r>
    <n v="2371"/>
    <x v="226"/>
    <x v="0"/>
    <x v="5"/>
    <x v="8"/>
    <x v="1"/>
    <x v="0"/>
    <n v="5"/>
    <n v="25218"/>
    <n v="126090"/>
    <n v="104281.23"/>
    <n v="21808.77"/>
    <n v="0.17296193195336665"/>
  </r>
  <r>
    <n v="2372"/>
    <x v="215"/>
    <x v="4"/>
    <x v="2"/>
    <x v="2"/>
    <x v="1"/>
    <x v="4"/>
    <n v="2"/>
    <n v="19514"/>
    <n v="39028"/>
    <n v="31147.49"/>
    <n v="7880.51"/>
    <n v="0.20191939120631341"/>
  </r>
  <r>
    <n v="2373"/>
    <x v="37"/>
    <x v="6"/>
    <x v="0"/>
    <x v="6"/>
    <x v="1"/>
    <x v="0"/>
    <n v="5"/>
    <n v="37047"/>
    <n v="185235"/>
    <n v="144496.54"/>
    <n v="40738.46"/>
    <n v="0.21992852322725187"/>
  </r>
  <r>
    <n v="2374"/>
    <x v="147"/>
    <x v="4"/>
    <x v="4"/>
    <x v="7"/>
    <x v="0"/>
    <x v="5"/>
    <n v="4"/>
    <n v="79831"/>
    <n v="319324"/>
    <n v="226956.42"/>
    <n v="92367.58"/>
    <n v="0.28925974871916926"/>
  </r>
  <r>
    <n v="2375"/>
    <x v="172"/>
    <x v="2"/>
    <x v="2"/>
    <x v="5"/>
    <x v="1"/>
    <x v="4"/>
    <n v="2"/>
    <n v="51734"/>
    <n v="103468"/>
    <n v="71839.5"/>
    <n v="31628.5"/>
    <n v="0.30568388293965282"/>
  </r>
  <r>
    <n v="2376"/>
    <x v="227"/>
    <x v="4"/>
    <x v="5"/>
    <x v="8"/>
    <x v="1"/>
    <x v="0"/>
    <n v="4"/>
    <n v="9556"/>
    <n v="38224"/>
    <n v="31910.86"/>
    <n v="6313.14"/>
    <n v="0.16516167852658017"/>
  </r>
  <r>
    <n v="2377"/>
    <x v="122"/>
    <x v="6"/>
    <x v="4"/>
    <x v="4"/>
    <x v="1"/>
    <x v="3"/>
    <n v="5"/>
    <n v="50661"/>
    <n v="253305"/>
    <n v="189543.44"/>
    <n v="63761.56"/>
    <n v="0.25171852115039184"/>
  </r>
  <r>
    <n v="2378"/>
    <x v="1"/>
    <x v="0"/>
    <x v="0"/>
    <x v="6"/>
    <x v="1"/>
    <x v="4"/>
    <n v="1"/>
    <n v="28783"/>
    <n v="28783"/>
    <n v="21881.58"/>
    <n v="6901.42"/>
    <n v="0.23977417225445577"/>
  </r>
  <r>
    <n v="2379"/>
    <x v="208"/>
    <x v="6"/>
    <x v="3"/>
    <x v="3"/>
    <x v="2"/>
    <x v="4"/>
    <n v="1"/>
    <n v="75763"/>
    <n v="75763"/>
    <n v="55123.45"/>
    <n v="20639.55"/>
    <n v="0.27242255454509456"/>
  </r>
  <r>
    <n v="2380"/>
    <x v="104"/>
    <x v="1"/>
    <x v="2"/>
    <x v="5"/>
    <x v="1"/>
    <x v="5"/>
    <n v="5"/>
    <n v="37513"/>
    <n v="187565"/>
    <n v="159029.10999999999"/>
    <n v="28535.89"/>
    <n v="0.15213867192706529"/>
  </r>
  <r>
    <n v="2381"/>
    <x v="228"/>
    <x v="2"/>
    <x v="4"/>
    <x v="4"/>
    <x v="1"/>
    <x v="4"/>
    <n v="3"/>
    <n v="26392"/>
    <n v="79176"/>
    <n v="62158.61"/>
    <n v="17017.39"/>
    <n v="0.21493116600990197"/>
  </r>
  <r>
    <n v="2382"/>
    <x v="161"/>
    <x v="4"/>
    <x v="3"/>
    <x v="3"/>
    <x v="2"/>
    <x v="4"/>
    <n v="1"/>
    <n v="70290"/>
    <n v="70290"/>
    <n v="49465.64"/>
    <n v="20824.36"/>
    <n v="0.29626347986911367"/>
  </r>
  <r>
    <n v="2383"/>
    <x v="74"/>
    <x v="2"/>
    <x v="4"/>
    <x v="4"/>
    <x v="1"/>
    <x v="2"/>
    <n v="4"/>
    <n v="23394"/>
    <n v="93576"/>
    <n v="70142.38"/>
    <n v="23433.62"/>
    <n v="0.25042339916217832"/>
  </r>
  <r>
    <n v="2384"/>
    <x v="94"/>
    <x v="0"/>
    <x v="3"/>
    <x v="3"/>
    <x v="2"/>
    <x v="0"/>
    <n v="5"/>
    <n v="22552"/>
    <n v="112760"/>
    <n v="81853.89"/>
    <n v="30906.11"/>
    <n v="0.27408753103937566"/>
  </r>
  <r>
    <n v="2385"/>
    <x v="10"/>
    <x v="5"/>
    <x v="2"/>
    <x v="5"/>
    <x v="1"/>
    <x v="0"/>
    <n v="3"/>
    <n v="46393"/>
    <n v="139179"/>
    <n v="100291.1"/>
    <n v="38887.9"/>
    <n v="0.27940924995868632"/>
  </r>
  <r>
    <n v="2386"/>
    <x v="229"/>
    <x v="4"/>
    <x v="5"/>
    <x v="8"/>
    <x v="1"/>
    <x v="1"/>
    <n v="3"/>
    <n v="8886"/>
    <n v="26658"/>
    <n v="21524.080000000002"/>
    <n v="5133.92"/>
    <n v="0.19258458999174732"/>
  </r>
  <r>
    <n v="2387"/>
    <x v="107"/>
    <x v="2"/>
    <x v="2"/>
    <x v="5"/>
    <x v="1"/>
    <x v="0"/>
    <n v="2"/>
    <n v="78369"/>
    <n v="156738"/>
    <n v="111410.4"/>
    <n v="45327.6"/>
    <n v="0.28919343107606321"/>
  </r>
  <r>
    <n v="2388"/>
    <x v="230"/>
    <x v="2"/>
    <x v="4"/>
    <x v="4"/>
    <x v="1"/>
    <x v="1"/>
    <n v="5"/>
    <n v="38400"/>
    <n v="192000"/>
    <n v="128176.5"/>
    <n v="63823.5"/>
    <n v="0.3324140625"/>
  </r>
  <r>
    <n v="2389"/>
    <x v="231"/>
    <x v="1"/>
    <x v="0"/>
    <x v="0"/>
    <x v="0"/>
    <x v="1"/>
    <n v="3"/>
    <n v="34779"/>
    <n v="104337"/>
    <n v="88104.68"/>
    <n v="16232.32"/>
    <n v="0.1555758743302951"/>
  </r>
  <r>
    <n v="2390"/>
    <x v="123"/>
    <x v="3"/>
    <x v="1"/>
    <x v="9"/>
    <x v="1"/>
    <x v="2"/>
    <n v="5"/>
    <n v="73187"/>
    <n v="365935"/>
    <n v="259800.6"/>
    <n v="106134.39999999999"/>
    <n v="0.29003620861628432"/>
  </r>
  <r>
    <n v="2391"/>
    <x v="232"/>
    <x v="6"/>
    <x v="5"/>
    <x v="8"/>
    <x v="1"/>
    <x v="4"/>
    <n v="5"/>
    <n v="65299"/>
    <n v="326495"/>
    <n v="246010.58"/>
    <n v="80484.42"/>
    <n v="0.24651042129282225"/>
  </r>
  <r>
    <n v="2392"/>
    <x v="55"/>
    <x v="5"/>
    <x v="5"/>
    <x v="8"/>
    <x v="1"/>
    <x v="5"/>
    <n v="4"/>
    <n v="68849"/>
    <n v="275396"/>
    <n v="198709.89"/>
    <n v="76686.11"/>
    <n v="0.27845760287004895"/>
  </r>
  <r>
    <n v="2393"/>
    <x v="233"/>
    <x v="5"/>
    <x v="3"/>
    <x v="3"/>
    <x v="2"/>
    <x v="4"/>
    <n v="1"/>
    <n v="16948"/>
    <n v="16948"/>
    <n v="12796.58"/>
    <n v="4151.42"/>
    <n v="0.24495043662969082"/>
  </r>
  <r>
    <n v="2394"/>
    <x v="99"/>
    <x v="2"/>
    <x v="1"/>
    <x v="1"/>
    <x v="0"/>
    <x v="4"/>
    <n v="4"/>
    <n v="28213"/>
    <n v="112852"/>
    <n v="93212.03"/>
    <n v="19639.97"/>
    <n v="0.17403298124977848"/>
  </r>
  <r>
    <n v="2395"/>
    <x v="208"/>
    <x v="2"/>
    <x v="2"/>
    <x v="2"/>
    <x v="1"/>
    <x v="0"/>
    <n v="5"/>
    <n v="52994"/>
    <n v="264970"/>
    <n v="208879.99"/>
    <n v="56090.01"/>
    <n v="0.21168437936370155"/>
  </r>
  <r>
    <n v="2396"/>
    <x v="234"/>
    <x v="0"/>
    <x v="1"/>
    <x v="1"/>
    <x v="0"/>
    <x v="4"/>
    <n v="3"/>
    <n v="17841"/>
    <n v="53523"/>
    <n v="43632.26"/>
    <n v="9890.74"/>
    <n v="0.18479420062403079"/>
  </r>
  <r>
    <n v="2397"/>
    <x v="165"/>
    <x v="0"/>
    <x v="5"/>
    <x v="8"/>
    <x v="1"/>
    <x v="2"/>
    <n v="3"/>
    <n v="53004"/>
    <n v="159012"/>
    <n v="129453.41"/>
    <n v="29558.59"/>
    <n v="0.18588905239856113"/>
  </r>
  <r>
    <n v="2398"/>
    <x v="138"/>
    <x v="2"/>
    <x v="5"/>
    <x v="8"/>
    <x v="1"/>
    <x v="5"/>
    <n v="5"/>
    <n v="46001"/>
    <n v="230005"/>
    <n v="187047.55"/>
    <n v="42957.45"/>
    <n v="0.18676746157692223"/>
  </r>
  <r>
    <n v="2399"/>
    <x v="235"/>
    <x v="4"/>
    <x v="4"/>
    <x v="7"/>
    <x v="0"/>
    <x v="3"/>
    <n v="2"/>
    <n v="15886"/>
    <n v="31772"/>
    <n v="24655.7"/>
    <n v="7116.3"/>
    <n v="0.22398023416845023"/>
  </r>
  <r>
    <n v="2400"/>
    <x v="236"/>
    <x v="3"/>
    <x v="3"/>
    <x v="3"/>
    <x v="2"/>
    <x v="4"/>
    <n v="1"/>
    <n v="61925"/>
    <n v="61925"/>
    <n v="40384.19"/>
    <n v="21540.81"/>
    <n v="0.34785320952765442"/>
  </r>
  <r>
    <n v="2401"/>
    <x v="31"/>
    <x v="1"/>
    <x v="1"/>
    <x v="9"/>
    <x v="1"/>
    <x v="5"/>
    <n v="5"/>
    <n v="8512"/>
    <n v="42560"/>
    <n v="35469.78"/>
    <n v="7090.22"/>
    <n v="0.16659351503759398"/>
  </r>
  <r>
    <n v="2402"/>
    <x v="179"/>
    <x v="6"/>
    <x v="2"/>
    <x v="2"/>
    <x v="1"/>
    <x v="2"/>
    <n v="1"/>
    <n v="11870"/>
    <n v="11870"/>
    <n v="8182.35"/>
    <n v="3687.65"/>
    <n v="0.31066975568660488"/>
  </r>
  <r>
    <n v="2403"/>
    <x v="131"/>
    <x v="6"/>
    <x v="2"/>
    <x v="5"/>
    <x v="1"/>
    <x v="1"/>
    <n v="3"/>
    <n v="77663"/>
    <n v="232989"/>
    <n v="175409.77"/>
    <n v="57579.23"/>
    <n v="0.24713282601324527"/>
  </r>
  <r>
    <n v="2404"/>
    <x v="109"/>
    <x v="4"/>
    <x v="4"/>
    <x v="4"/>
    <x v="1"/>
    <x v="3"/>
    <n v="5"/>
    <n v="23925"/>
    <n v="119625"/>
    <n v="81233.84"/>
    <n v="38391.160000000003"/>
    <n v="0.32092923719958205"/>
  </r>
  <r>
    <n v="2405"/>
    <x v="237"/>
    <x v="6"/>
    <x v="5"/>
    <x v="8"/>
    <x v="1"/>
    <x v="1"/>
    <n v="1"/>
    <n v="21120"/>
    <n v="21120"/>
    <n v="14049.57"/>
    <n v="7070.43"/>
    <n v="0.33477414772727276"/>
  </r>
  <r>
    <n v="2406"/>
    <x v="49"/>
    <x v="2"/>
    <x v="5"/>
    <x v="8"/>
    <x v="1"/>
    <x v="0"/>
    <n v="4"/>
    <n v="16141"/>
    <n v="64564"/>
    <n v="50361.21"/>
    <n v="14202.79"/>
    <n v="0.21998001982528964"/>
  </r>
  <r>
    <n v="2407"/>
    <x v="238"/>
    <x v="1"/>
    <x v="3"/>
    <x v="3"/>
    <x v="2"/>
    <x v="3"/>
    <n v="3"/>
    <n v="44103"/>
    <n v="132309"/>
    <n v="90483.87"/>
    <n v="41825.129999999997"/>
    <n v="0.31611704419200504"/>
  </r>
  <r>
    <n v="2408"/>
    <x v="45"/>
    <x v="5"/>
    <x v="0"/>
    <x v="6"/>
    <x v="1"/>
    <x v="2"/>
    <n v="1"/>
    <n v="53730"/>
    <n v="53730"/>
    <n v="36984"/>
    <n v="16746"/>
    <n v="0.31166945840312676"/>
  </r>
  <r>
    <n v="2409"/>
    <x v="69"/>
    <x v="2"/>
    <x v="3"/>
    <x v="3"/>
    <x v="2"/>
    <x v="2"/>
    <n v="2"/>
    <n v="59903"/>
    <n v="119806"/>
    <n v="91835.18"/>
    <n v="27970.82"/>
    <n v="0.23346760596297347"/>
  </r>
  <r>
    <n v="2410"/>
    <x v="225"/>
    <x v="2"/>
    <x v="1"/>
    <x v="9"/>
    <x v="1"/>
    <x v="2"/>
    <n v="2"/>
    <n v="40680"/>
    <n v="81360"/>
    <n v="56511.02"/>
    <n v="24848.98"/>
    <n v="0.30542010816125859"/>
  </r>
  <r>
    <n v="2411"/>
    <x v="239"/>
    <x v="4"/>
    <x v="4"/>
    <x v="4"/>
    <x v="1"/>
    <x v="3"/>
    <n v="1"/>
    <n v="67695"/>
    <n v="67695"/>
    <n v="48113.23"/>
    <n v="19581.77"/>
    <n v="0.28926464288352166"/>
  </r>
  <r>
    <n v="2412"/>
    <x v="25"/>
    <x v="1"/>
    <x v="3"/>
    <x v="3"/>
    <x v="2"/>
    <x v="0"/>
    <n v="2"/>
    <n v="59091"/>
    <n v="118182"/>
    <n v="92770.74"/>
    <n v="25411.26"/>
    <n v="0.21501802304919529"/>
  </r>
  <r>
    <n v="2413"/>
    <x v="240"/>
    <x v="0"/>
    <x v="3"/>
    <x v="3"/>
    <x v="2"/>
    <x v="0"/>
    <n v="4"/>
    <n v="71489"/>
    <n v="285956"/>
    <n v="187154"/>
    <n v="98802"/>
    <n v="0.34551469456839512"/>
  </r>
  <r>
    <n v="2414"/>
    <x v="173"/>
    <x v="3"/>
    <x v="4"/>
    <x v="7"/>
    <x v="0"/>
    <x v="3"/>
    <n v="3"/>
    <n v="57677"/>
    <n v="173031"/>
    <n v="118926.03"/>
    <n v="54104.97"/>
    <n v="0.31268946027012501"/>
  </r>
  <r>
    <n v="2415"/>
    <x v="241"/>
    <x v="2"/>
    <x v="0"/>
    <x v="6"/>
    <x v="1"/>
    <x v="1"/>
    <n v="1"/>
    <n v="51911"/>
    <n v="51911"/>
    <n v="39283.65"/>
    <n v="12627.35"/>
    <n v="0.2432499855521951"/>
  </r>
  <r>
    <n v="2416"/>
    <x v="0"/>
    <x v="1"/>
    <x v="2"/>
    <x v="2"/>
    <x v="1"/>
    <x v="0"/>
    <n v="1"/>
    <n v="24159"/>
    <n v="24159"/>
    <n v="17743.71"/>
    <n v="6415.29"/>
    <n v="0.26554451757109154"/>
  </r>
  <r>
    <n v="2417"/>
    <x v="178"/>
    <x v="4"/>
    <x v="0"/>
    <x v="0"/>
    <x v="0"/>
    <x v="3"/>
    <n v="2"/>
    <n v="69212"/>
    <n v="138424"/>
    <n v="97826.65"/>
    <n v="40597.35"/>
    <n v="0.29328259550366986"/>
  </r>
  <r>
    <n v="2418"/>
    <x v="19"/>
    <x v="2"/>
    <x v="4"/>
    <x v="7"/>
    <x v="0"/>
    <x v="2"/>
    <n v="1"/>
    <n v="52750"/>
    <n v="52750"/>
    <n v="42778.89"/>
    <n v="9971.11"/>
    <n v="0.18902578199052134"/>
  </r>
  <r>
    <n v="2419"/>
    <x v="56"/>
    <x v="5"/>
    <x v="4"/>
    <x v="7"/>
    <x v="0"/>
    <x v="3"/>
    <n v="2"/>
    <n v="43345"/>
    <n v="86690"/>
    <n v="65795.39"/>
    <n v="20894.61"/>
    <n v="0.24102676202560849"/>
  </r>
  <r>
    <n v="2420"/>
    <x v="191"/>
    <x v="4"/>
    <x v="4"/>
    <x v="4"/>
    <x v="1"/>
    <x v="0"/>
    <n v="2"/>
    <n v="28869"/>
    <n v="57738"/>
    <n v="41778.26"/>
    <n v="15959.74"/>
    <n v="0.27641657140877757"/>
  </r>
  <r>
    <n v="2421"/>
    <x v="242"/>
    <x v="5"/>
    <x v="4"/>
    <x v="7"/>
    <x v="0"/>
    <x v="0"/>
    <n v="5"/>
    <n v="35270"/>
    <n v="176350"/>
    <n v="125111.64"/>
    <n v="51238.36"/>
    <n v="0.29054924865324638"/>
  </r>
  <r>
    <n v="2422"/>
    <x v="221"/>
    <x v="4"/>
    <x v="2"/>
    <x v="5"/>
    <x v="1"/>
    <x v="3"/>
    <n v="4"/>
    <n v="25163"/>
    <n v="100652"/>
    <n v="84388.39"/>
    <n v="16263.61"/>
    <n v="0.16158258156817551"/>
  </r>
  <r>
    <n v="2423"/>
    <x v="179"/>
    <x v="4"/>
    <x v="0"/>
    <x v="6"/>
    <x v="1"/>
    <x v="0"/>
    <n v="3"/>
    <n v="78079"/>
    <n v="234237"/>
    <n v="163790.25"/>
    <n v="70446.75"/>
    <n v="0.30074988153024501"/>
  </r>
  <r>
    <n v="2424"/>
    <x v="243"/>
    <x v="4"/>
    <x v="3"/>
    <x v="3"/>
    <x v="2"/>
    <x v="3"/>
    <n v="1"/>
    <n v="75243"/>
    <n v="75243"/>
    <n v="50284.44"/>
    <n v="24958.560000000001"/>
    <n v="0.33170607232566485"/>
  </r>
  <r>
    <n v="2425"/>
    <x v="35"/>
    <x v="5"/>
    <x v="0"/>
    <x v="6"/>
    <x v="1"/>
    <x v="0"/>
    <n v="5"/>
    <n v="27014"/>
    <n v="135070"/>
    <n v="96191.15"/>
    <n v="38878.85"/>
    <n v="0.28784222995483821"/>
  </r>
  <r>
    <n v="2426"/>
    <x v="244"/>
    <x v="5"/>
    <x v="2"/>
    <x v="2"/>
    <x v="1"/>
    <x v="2"/>
    <n v="2"/>
    <n v="38351"/>
    <n v="76702"/>
    <n v="54781.14"/>
    <n v="21920.86"/>
    <n v="0.28579254778232643"/>
  </r>
  <r>
    <n v="2427"/>
    <x v="241"/>
    <x v="3"/>
    <x v="1"/>
    <x v="1"/>
    <x v="0"/>
    <x v="1"/>
    <n v="5"/>
    <n v="46922"/>
    <n v="234610"/>
    <n v="161544.20000000001"/>
    <n v="73065.8"/>
    <n v="0.31143514769191427"/>
  </r>
  <r>
    <n v="2428"/>
    <x v="10"/>
    <x v="3"/>
    <x v="0"/>
    <x v="6"/>
    <x v="1"/>
    <x v="3"/>
    <n v="2"/>
    <n v="60294"/>
    <n v="120588"/>
    <n v="85192.14"/>
    <n v="35395.86"/>
    <n v="0.29352721663847148"/>
  </r>
  <r>
    <n v="2429"/>
    <x v="144"/>
    <x v="6"/>
    <x v="2"/>
    <x v="2"/>
    <x v="1"/>
    <x v="0"/>
    <n v="2"/>
    <n v="44244"/>
    <n v="88488"/>
    <n v="60638.94"/>
    <n v="27849.06"/>
    <n v="0.31472131814483323"/>
  </r>
  <r>
    <n v="2430"/>
    <x v="31"/>
    <x v="5"/>
    <x v="0"/>
    <x v="0"/>
    <x v="0"/>
    <x v="5"/>
    <n v="3"/>
    <n v="62076"/>
    <n v="186228"/>
    <n v="121989.16"/>
    <n v="64238.84"/>
    <n v="0.34494726893914984"/>
  </r>
  <r>
    <n v="2431"/>
    <x v="245"/>
    <x v="0"/>
    <x v="2"/>
    <x v="5"/>
    <x v="1"/>
    <x v="0"/>
    <n v="1"/>
    <n v="31810"/>
    <n v="31810"/>
    <n v="22530.87"/>
    <n v="9279.1299999999992"/>
    <n v="0.29170480980823638"/>
  </r>
  <r>
    <n v="2432"/>
    <x v="246"/>
    <x v="4"/>
    <x v="0"/>
    <x v="6"/>
    <x v="1"/>
    <x v="5"/>
    <n v="1"/>
    <n v="61039"/>
    <n v="61039"/>
    <n v="40163.64"/>
    <n v="20875.36"/>
    <n v="0.34200036042530185"/>
  </r>
  <r>
    <n v="2433"/>
    <x v="158"/>
    <x v="2"/>
    <x v="4"/>
    <x v="4"/>
    <x v="1"/>
    <x v="3"/>
    <n v="2"/>
    <n v="57904"/>
    <n v="115808"/>
    <n v="92375.95"/>
    <n v="23432.05"/>
    <n v="0.20233533089251174"/>
  </r>
  <r>
    <n v="2434"/>
    <x v="247"/>
    <x v="1"/>
    <x v="5"/>
    <x v="8"/>
    <x v="1"/>
    <x v="5"/>
    <n v="2"/>
    <n v="37839"/>
    <n v="75678"/>
    <n v="57820.49"/>
    <n v="17857.509999999998"/>
    <n v="0.2359669917281112"/>
  </r>
  <r>
    <n v="2435"/>
    <x v="248"/>
    <x v="1"/>
    <x v="5"/>
    <x v="8"/>
    <x v="1"/>
    <x v="0"/>
    <n v="5"/>
    <n v="53749"/>
    <n v="268745"/>
    <n v="224975.83"/>
    <n v="43769.17"/>
    <n v="0.1628650579545666"/>
  </r>
  <r>
    <n v="2436"/>
    <x v="85"/>
    <x v="6"/>
    <x v="1"/>
    <x v="1"/>
    <x v="0"/>
    <x v="5"/>
    <n v="1"/>
    <n v="14205"/>
    <n v="14205"/>
    <n v="12000.75"/>
    <n v="2204.25"/>
    <n v="0.1551742344244984"/>
  </r>
  <r>
    <n v="2437"/>
    <x v="249"/>
    <x v="3"/>
    <x v="1"/>
    <x v="1"/>
    <x v="0"/>
    <x v="4"/>
    <n v="3"/>
    <n v="19290"/>
    <n v="57870"/>
    <n v="42444.59"/>
    <n v="15425.41"/>
    <n v="0.2665527907378607"/>
  </r>
  <r>
    <n v="2438"/>
    <x v="114"/>
    <x v="5"/>
    <x v="2"/>
    <x v="2"/>
    <x v="1"/>
    <x v="1"/>
    <n v="3"/>
    <n v="77117"/>
    <n v="231351"/>
    <n v="154539.39000000001"/>
    <n v="76811.61"/>
    <n v="0.3320133044594577"/>
  </r>
  <r>
    <n v="2439"/>
    <x v="71"/>
    <x v="2"/>
    <x v="2"/>
    <x v="2"/>
    <x v="1"/>
    <x v="4"/>
    <n v="5"/>
    <n v="67346"/>
    <n v="336730"/>
    <n v="253130.6"/>
    <n v="83599.399999999994"/>
    <n v="0.24826834555875626"/>
  </r>
  <r>
    <n v="2440"/>
    <x v="250"/>
    <x v="2"/>
    <x v="4"/>
    <x v="7"/>
    <x v="0"/>
    <x v="5"/>
    <n v="2"/>
    <n v="72161"/>
    <n v="144322"/>
    <n v="115801.73"/>
    <n v="28520.27"/>
    <n v="0.1976155402502737"/>
  </r>
  <r>
    <n v="2441"/>
    <x v="251"/>
    <x v="5"/>
    <x v="1"/>
    <x v="9"/>
    <x v="1"/>
    <x v="1"/>
    <n v="2"/>
    <n v="79618"/>
    <n v="159236"/>
    <n v="108716.67"/>
    <n v="50519.33"/>
    <n v="0.31726073249767639"/>
  </r>
  <r>
    <n v="2442"/>
    <x v="95"/>
    <x v="4"/>
    <x v="4"/>
    <x v="7"/>
    <x v="0"/>
    <x v="4"/>
    <n v="1"/>
    <n v="30026"/>
    <n v="30026"/>
    <n v="21665.72"/>
    <n v="8360.2800000000007"/>
    <n v="0.27843468993538933"/>
  </r>
  <r>
    <n v="2443"/>
    <x v="252"/>
    <x v="3"/>
    <x v="2"/>
    <x v="2"/>
    <x v="1"/>
    <x v="3"/>
    <n v="3"/>
    <n v="25981"/>
    <n v="77943"/>
    <n v="52791.62"/>
    <n v="25151.38"/>
    <n v="0.32268940122910333"/>
  </r>
  <r>
    <n v="2444"/>
    <x v="238"/>
    <x v="5"/>
    <x v="2"/>
    <x v="5"/>
    <x v="1"/>
    <x v="0"/>
    <n v="2"/>
    <n v="8770"/>
    <n v="17540"/>
    <n v="13208.96"/>
    <n v="4331.04"/>
    <n v="0.2469236031927024"/>
  </r>
  <r>
    <n v="2445"/>
    <x v="253"/>
    <x v="0"/>
    <x v="2"/>
    <x v="5"/>
    <x v="1"/>
    <x v="5"/>
    <n v="3"/>
    <n v="25484"/>
    <n v="76452"/>
    <n v="63220.99"/>
    <n v="13231.01"/>
    <n v="0.1730629676136661"/>
  </r>
  <r>
    <n v="2446"/>
    <x v="2"/>
    <x v="4"/>
    <x v="4"/>
    <x v="4"/>
    <x v="1"/>
    <x v="1"/>
    <n v="3"/>
    <n v="23462"/>
    <n v="70386"/>
    <n v="53468.87"/>
    <n v="16917.13"/>
    <n v="0.24034793851049926"/>
  </r>
  <r>
    <n v="2447"/>
    <x v="53"/>
    <x v="5"/>
    <x v="4"/>
    <x v="4"/>
    <x v="1"/>
    <x v="5"/>
    <n v="5"/>
    <n v="68447"/>
    <n v="342235"/>
    <n v="279913.03999999998"/>
    <n v="62321.96"/>
    <n v="0.18210282408286704"/>
  </r>
  <r>
    <n v="2448"/>
    <x v="212"/>
    <x v="6"/>
    <x v="2"/>
    <x v="2"/>
    <x v="1"/>
    <x v="3"/>
    <n v="3"/>
    <n v="9621"/>
    <n v="28863"/>
    <n v="20841.86"/>
    <n v="8021.14"/>
    <n v="0.27790389079444272"/>
  </r>
  <r>
    <n v="2449"/>
    <x v="94"/>
    <x v="3"/>
    <x v="4"/>
    <x v="7"/>
    <x v="0"/>
    <x v="2"/>
    <n v="3"/>
    <n v="33836"/>
    <n v="101508"/>
    <n v="68225.460000000006"/>
    <n v="33282.54"/>
    <n v="0.32788095519564964"/>
  </r>
  <r>
    <n v="2450"/>
    <x v="254"/>
    <x v="2"/>
    <x v="0"/>
    <x v="6"/>
    <x v="1"/>
    <x v="2"/>
    <n v="3"/>
    <n v="66336"/>
    <n v="199008"/>
    <n v="148008.6"/>
    <n v="50999.4"/>
    <n v="0.25626808972503617"/>
  </r>
  <r>
    <n v="2451"/>
    <x v="98"/>
    <x v="1"/>
    <x v="0"/>
    <x v="0"/>
    <x v="0"/>
    <x v="3"/>
    <n v="1"/>
    <n v="13974"/>
    <n v="13974"/>
    <n v="9113.32"/>
    <n v="4860.68"/>
    <n v="0.34783741233719767"/>
  </r>
  <r>
    <n v="2452"/>
    <x v="92"/>
    <x v="3"/>
    <x v="2"/>
    <x v="5"/>
    <x v="1"/>
    <x v="5"/>
    <n v="5"/>
    <n v="42659"/>
    <n v="213295"/>
    <n v="143283.16"/>
    <n v="70011.839999999997"/>
    <n v="0.32823948053165802"/>
  </r>
  <r>
    <n v="2453"/>
    <x v="255"/>
    <x v="2"/>
    <x v="2"/>
    <x v="5"/>
    <x v="1"/>
    <x v="0"/>
    <n v="5"/>
    <n v="50180"/>
    <n v="250900"/>
    <n v="163501.6"/>
    <n v="87398.399999999994"/>
    <n v="0.34833957752092465"/>
  </r>
  <r>
    <n v="2454"/>
    <x v="144"/>
    <x v="5"/>
    <x v="1"/>
    <x v="1"/>
    <x v="0"/>
    <x v="4"/>
    <n v="5"/>
    <n v="40953"/>
    <n v="204765"/>
    <n v="159842.54999999999"/>
    <n v="44922.45"/>
    <n v="0.21938539301150098"/>
  </r>
  <r>
    <n v="2455"/>
    <x v="35"/>
    <x v="0"/>
    <x v="1"/>
    <x v="1"/>
    <x v="0"/>
    <x v="5"/>
    <n v="1"/>
    <n v="59809"/>
    <n v="59809"/>
    <n v="48918.720000000001"/>
    <n v="10890.28"/>
    <n v="0.18208430169372503"/>
  </r>
  <r>
    <n v="2456"/>
    <x v="247"/>
    <x v="1"/>
    <x v="0"/>
    <x v="6"/>
    <x v="1"/>
    <x v="3"/>
    <n v="5"/>
    <n v="30080"/>
    <n v="150400"/>
    <n v="100833.49"/>
    <n v="49566.51"/>
    <n v="0.32956456117021277"/>
  </r>
  <r>
    <n v="2457"/>
    <x v="126"/>
    <x v="5"/>
    <x v="0"/>
    <x v="6"/>
    <x v="1"/>
    <x v="1"/>
    <n v="4"/>
    <n v="32188"/>
    <n v="128752"/>
    <n v="100357.16"/>
    <n v="28394.84"/>
    <n v="0.22053902075307569"/>
  </r>
  <r>
    <n v="2458"/>
    <x v="154"/>
    <x v="1"/>
    <x v="0"/>
    <x v="0"/>
    <x v="0"/>
    <x v="3"/>
    <n v="2"/>
    <n v="56401"/>
    <n v="112802"/>
    <n v="92222.87"/>
    <n v="20579.13"/>
    <n v="0.18243586106629317"/>
  </r>
  <r>
    <n v="2459"/>
    <x v="75"/>
    <x v="0"/>
    <x v="0"/>
    <x v="6"/>
    <x v="1"/>
    <x v="2"/>
    <n v="1"/>
    <n v="60851"/>
    <n v="60851"/>
    <n v="50569.56"/>
    <n v="10281.44"/>
    <n v="0.16896090450444529"/>
  </r>
  <r>
    <n v="2460"/>
    <x v="256"/>
    <x v="2"/>
    <x v="4"/>
    <x v="7"/>
    <x v="0"/>
    <x v="0"/>
    <n v="2"/>
    <n v="47265"/>
    <n v="94530"/>
    <n v="72837.73"/>
    <n v="21692.27"/>
    <n v="0.22947498148735851"/>
  </r>
  <r>
    <n v="2461"/>
    <x v="221"/>
    <x v="0"/>
    <x v="1"/>
    <x v="1"/>
    <x v="0"/>
    <x v="5"/>
    <n v="2"/>
    <n v="26127"/>
    <n v="52254"/>
    <n v="38596.769999999997"/>
    <n v="13657.23"/>
    <n v="0.2613623837409576"/>
  </r>
  <r>
    <n v="2462"/>
    <x v="208"/>
    <x v="3"/>
    <x v="2"/>
    <x v="2"/>
    <x v="1"/>
    <x v="2"/>
    <n v="4"/>
    <n v="33010"/>
    <n v="132040"/>
    <n v="91590.21"/>
    <n v="40449.79"/>
    <n v="0.3063449712208422"/>
  </r>
  <r>
    <n v="2463"/>
    <x v="37"/>
    <x v="3"/>
    <x v="0"/>
    <x v="0"/>
    <x v="0"/>
    <x v="2"/>
    <n v="5"/>
    <n v="63763"/>
    <n v="318815"/>
    <n v="216358.2"/>
    <n v="102456.8"/>
    <n v="0.3213675642614055"/>
  </r>
  <r>
    <n v="2464"/>
    <x v="67"/>
    <x v="5"/>
    <x v="1"/>
    <x v="1"/>
    <x v="0"/>
    <x v="2"/>
    <n v="4"/>
    <n v="52389"/>
    <n v="209556"/>
    <n v="138839.98000000001"/>
    <n v="70716.02"/>
    <n v="0.33745643169367617"/>
  </r>
  <r>
    <n v="2465"/>
    <x v="197"/>
    <x v="5"/>
    <x v="1"/>
    <x v="9"/>
    <x v="1"/>
    <x v="3"/>
    <n v="4"/>
    <n v="46763"/>
    <n v="187052"/>
    <n v="121740.68"/>
    <n v="65311.32"/>
    <n v="0.3491613027393452"/>
  </r>
  <r>
    <n v="2466"/>
    <x v="131"/>
    <x v="5"/>
    <x v="3"/>
    <x v="3"/>
    <x v="2"/>
    <x v="4"/>
    <n v="2"/>
    <n v="69451"/>
    <n v="138902"/>
    <n v="92648.8"/>
    <n v="46253.2"/>
    <n v="0.33299160559243207"/>
  </r>
  <r>
    <n v="2467"/>
    <x v="96"/>
    <x v="4"/>
    <x v="0"/>
    <x v="0"/>
    <x v="0"/>
    <x v="0"/>
    <n v="5"/>
    <n v="28232"/>
    <n v="141160"/>
    <n v="119262.39"/>
    <n v="21897.61"/>
    <n v="0.15512616888637007"/>
  </r>
  <r>
    <n v="2468"/>
    <x v="194"/>
    <x v="4"/>
    <x v="3"/>
    <x v="3"/>
    <x v="2"/>
    <x v="2"/>
    <n v="3"/>
    <n v="46933"/>
    <n v="140799"/>
    <n v="107430.29"/>
    <n v="33368.71"/>
    <n v="0.23699536218297004"/>
  </r>
  <r>
    <n v="2469"/>
    <x v="257"/>
    <x v="1"/>
    <x v="2"/>
    <x v="2"/>
    <x v="1"/>
    <x v="0"/>
    <n v="2"/>
    <n v="47231"/>
    <n v="94462"/>
    <n v="77747.19"/>
    <n v="16714.810000000001"/>
    <n v="0.17694744976816076"/>
  </r>
  <r>
    <n v="2470"/>
    <x v="258"/>
    <x v="5"/>
    <x v="5"/>
    <x v="8"/>
    <x v="1"/>
    <x v="2"/>
    <n v="2"/>
    <n v="66634"/>
    <n v="133268"/>
    <n v="105051.41"/>
    <n v="28216.59"/>
    <n v="0.21172817180418405"/>
  </r>
  <r>
    <n v="2471"/>
    <x v="6"/>
    <x v="5"/>
    <x v="4"/>
    <x v="4"/>
    <x v="1"/>
    <x v="1"/>
    <n v="5"/>
    <n v="62575"/>
    <n v="312875"/>
    <n v="225895.83"/>
    <n v="86979.17"/>
    <n v="0.27799974430683178"/>
  </r>
  <r>
    <n v="2472"/>
    <x v="259"/>
    <x v="4"/>
    <x v="4"/>
    <x v="7"/>
    <x v="0"/>
    <x v="0"/>
    <n v="3"/>
    <n v="22975"/>
    <n v="68925"/>
    <n v="47933.82"/>
    <n v="20991.18"/>
    <n v="0.30455103373231773"/>
  </r>
  <r>
    <n v="2473"/>
    <x v="58"/>
    <x v="4"/>
    <x v="4"/>
    <x v="7"/>
    <x v="0"/>
    <x v="5"/>
    <n v="2"/>
    <n v="41225"/>
    <n v="82450"/>
    <n v="64305.63"/>
    <n v="18144.37"/>
    <n v="0.22006513038204972"/>
  </r>
  <r>
    <n v="2474"/>
    <x v="106"/>
    <x v="4"/>
    <x v="4"/>
    <x v="7"/>
    <x v="0"/>
    <x v="5"/>
    <n v="4"/>
    <n v="37752"/>
    <n v="151008"/>
    <n v="114887.53"/>
    <n v="36120.47"/>
    <n v="0.23919573797414706"/>
  </r>
  <r>
    <n v="2475"/>
    <x v="32"/>
    <x v="4"/>
    <x v="4"/>
    <x v="7"/>
    <x v="0"/>
    <x v="1"/>
    <n v="1"/>
    <n v="75264"/>
    <n v="75264"/>
    <n v="62608.41"/>
    <n v="12655.59"/>
    <n v="0.16814931441326531"/>
  </r>
  <r>
    <n v="2476"/>
    <x v="180"/>
    <x v="3"/>
    <x v="3"/>
    <x v="3"/>
    <x v="2"/>
    <x v="0"/>
    <n v="1"/>
    <n v="65609"/>
    <n v="65609"/>
    <n v="44407.91"/>
    <n v="21201.09"/>
    <n v="0.32314301391577377"/>
  </r>
  <r>
    <n v="2477"/>
    <x v="93"/>
    <x v="4"/>
    <x v="5"/>
    <x v="8"/>
    <x v="1"/>
    <x v="1"/>
    <n v="1"/>
    <n v="75522"/>
    <n v="75522"/>
    <n v="50631.360000000001"/>
    <n v="24890.639999999999"/>
    <n v="0.32958131405418289"/>
  </r>
  <r>
    <n v="2478"/>
    <x v="186"/>
    <x v="4"/>
    <x v="2"/>
    <x v="2"/>
    <x v="1"/>
    <x v="3"/>
    <n v="5"/>
    <n v="70273"/>
    <n v="351365"/>
    <n v="282847.42"/>
    <n v="68517.58"/>
    <n v="0.19500399869082008"/>
  </r>
  <r>
    <n v="2479"/>
    <x v="1"/>
    <x v="1"/>
    <x v="4"/>
    <x v="4"/>
    <x v="1"/>
    <x v="1"/>
    <n v="4"/>
    <n v="39051"/>
    <n v="156204"/>
    <n v="103007.86"/>
    <n v="53196.14"/>
    <n v="0.34055555555555556"/>
  </r>
  <r>
    <n v="2480"/>
    <x v="195"/>
    <x v="3"/>
    <x v="1"/>
    <x v="9"/>
    <x v="1"/>
    <x v="5"/>
    <n v="2"/>
    <n v="68254"/>
    <n v="136508"/>
    <n v="96918.77"/>
    <n v="39589.230000000003"/>
    <n v="0.29001399185395732"/>
  </r>
  <r>
    <n v="2481"/>
    <x v="64"/>
    <x v="2"/>
    <x v="4"/>
    <x v="4"/>
    <x v="1"/>
    <x v="2"/>
    <n v="2"/>
    <n v="23035"/>
    <n v="46070"/>
    <n v="38399.39"/>
    <n v="7670.61"/>
    <n v="0.16649902322552637"/>
  </r>
  <r>
    <n v="2482"/>
    <x v="260"/>
    <x v="0"/>
    <x v="0"/>
    <x v="0"/>
    <x v="0"/>
    <x v="4"/>
    <n v="1"/>
    <n v="41504"/>
    <n v="41504"/>
    <n v="27996.29"/>
    <n v="13507.71"/>
    <n v="0.32545561873554352"/>
  </r>
  <r>
    <n v="2483"/>
    <x v="261"/>
    <x v="4"/>
    <x v="0"/>
    <x v="0"/>
    <x v="0"/>
    <x v="5"/>
    <n v="3"/>
    <n v="72092"/>
    <n v="216276"/>
    <n v="142461.16"/>
    <n v="73814.84"/>
    <n v="0.34129926575301928"/>
  </r>
  <r>
    <n v="2484"/>
    <x v="183"/>
    <x v="1"/>
    <x v="3"/>
    <x v="3"/>
    <x v="2"/>
    <x v="2"/>
    <n v="5"/>
    <n v="50908"/>
    <n v="254540"/>
    <n v="206331.19"/>
    <n v="48208.81"/>
    <n v="0.18939581205311543"/>
  </r>
  <r>
    <n v="2485"/>
    <x v="231"/>
    <x v="3"/>
    <x v="1"/>
    <x v="1"/>
    <x v="0"/>
    <x v="5"/>
    <n v="3"/>
    <n v="54445"/>
    <n v="163335"/>
    <n v="112477.31"/>
    <n v="50857.69"/>
    <n v="0.31137043499556127"/>
  </r>
  <r>
    <n v="2486"/>
    <x v="208"/>
    <x v="3"/>
    <x v="2"/>
    <x v="5"/>
    <x v="1"/>
    <x v="1"/>
    <n v="1"/>
    <n v="10746"/>
    <n v="10746"/>
    <n v="8033.81"/>
    <n v="2712.19"/>
    <n v="0.25239065698864693"/>
  </r>
  <r>
    <n v="2487"/>
    <x v="182"/>
    <x v="6"/>
    <x v="1"/>
    <x v="1"/>
    <x v="0"/>
    <x v="4"/>
    <n v="2"/>
    <n v="46015"/>
    <n v="92030"/>
    <n v="75901.64"/>
    <n v="16128.36"/>
    <n v="0.17525111376724981"/>
  </r>
  <r>
    <n v="2488"/>
    <x v="21"/>
    <x v="6"/>
    <x v="2"/>
    <x v="2"/>
    <x v="1"/>
    <x v="3"/>
    <n v="3"/>
    <n v="78573"/>
    <n v="235719"/>
    <n v="200232.36"/>
    <n v="35486.639999999999"/>
    <n v="0.150546370890764"/>
  </r>
  <r>
    <n v="2489"/>
    <x v="262"/>
    <x v="2"/>
    <x v="0"/>
    <x v="6"/>
    <x v="1"/>
    <x v="2"/>
    <n v="3"/>
    <n v="27783"/>
    <n v="83349"/>
    <n v="62297.88"/>
    <n v="21051.119999999999"/>
    <n v="0.25256595759997119"/>
  </r>
  <r>
    <n v="2490"/>
    <x v="263"/>
    <x v="6"/>
    <x v="2"/>
    <x v="5"/>
    <x v="1"/>
    <x v="2"/>
    <n v="1"/>
    <n v="31892"/>
    <n v="31892"/>
    <n v="24687.09"/>
    <n v="7204.91"/>
    <n v="0.2259159036749028"/>
  </r>
  <r>
    <n v="2491"/>
    <x v="150"/>
    <x v="2"/>
    <x v="3"/>
    <x v="3"/>
    <x v="2"/>
    <x v="0"/>
    <n v="4"/>
    <n v="59565"/>
    <n v="238260"/>
    <n v="165791.26999999999"/>
    <n v="72468.73"/>
    <n v="0.30415818853353477"/>
  </r>
  <r>
    <n v="2492"/>
    <x v="80"/>
    <x v="4"/>
    <x v="3"/>
    <x v="3"/>
    <x v="2"/>
    <x v="2"/>
    <n v="3"/>
    <n v="77240"/>
    <n v="231720"/>
    <n v="160642.87"/>
    <n v="71077.13"/>
    <n v="0.30673713965130334"/>
  </r>
  <r>
    <n v="2493"/>
    <x v="134"/>
    <x v="4"/>
    <x v="4"/>
    <x v="4"/>
    <x v="1"/>
    <x v="1"/>
    <n v="2"/>
    <n v="30246"/>
    <n v="60492"/>
    <n v="49230.57"/>
    <n v="11261.43"/>
    <n v="0.18616395556437215"/>
  </r>
  <r>
    <n v="2494"/>
    <x v="191"/>
    <x v="1"/>
    <x v="2"/>
    <x v="5"/>
    <x v="1"/>
    <x v="1"/>
    <n v="4"/>
    <n v="54357"/>
    <n v="217428"/>
    <n v="154998.32"/>
    <n v="62429.68"/>
    <n v="0.2871280607833398"/>
  </r>
  <r>
    <n v="2495"/>
    <x v="199"/>
    <x v="4"/>
    <x v="0"/>
    <x v="0"/>
    <x v="0"/>
    <x v="0"/>
    <n v="2"/>
    <n v="10688"/>
    <n v="21376"/>
    <n v="14957.81"/>
    <n v="6418.19"/>
    <n v="0.30025215194610777"/>
  </r>
  <r>
    <n v="2496"/>
    <x v="264"/>
    <x v="3"/>
    <x v="3"/>
    <x v="3"/>
    <x v="2"/>
    <x v="5"/>
    <n v="2"/>
    <n v="43738"/>
    <n v="87476"/>
    <n v="63585.1"/>
    <n v="23890.9"/>
    <n v="0.2731137683478897"/>
  </r>
  <r>
    <n v="2497"/>
    <x v="183"/>
    <x v="4"/>
    <x v="1"/>
    <x v="1"/>
    <x v="0"/>
    <x v="4"/>
    <n v="5"/>
    <n v="77225"/>
    <n v="386125"/>
    <n v="296112.46999999997"/>
    <n v="90012.53"/>
    <n v="0.23311759145354483"/>
  </r>
  <r>
    <n v="2498"/>
    <x v="120"/>
    <x v="5"/>
    <x v="4"/>
    <x v="4"/>
    <x v="1"/>
    <x v="2"/>
    <n v="1"/>
    <n v="34115"/>
    <n v="34115"/>
    <n v="27457.79"/>
    <n v="6657.21"/>
    <n v="0.19514026088230985"/>
  </r>
  <r>
    <n v="2499"/>
    <x v="241"/>
    <x v="5"/>
    <x v="3"/>
    <x v="3"/>
    <x v="2"/>
    <x v="2"/>
    <n v="3"/>
    <n v="39200"/>
    <n v="117600"/>
    <n v="96968.57"/>
    <n v="20631.43"/>
    <n v="0.175437329931972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151468-30BB-4DCA-88F4-E231EAD3226F}" name="PivotTable1"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D4" firstHeaderRow="0" firstDataRow="1" firstDataCol="0"/>
  <pivotFields count="13">
    <pivotField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items count="267">
        <item x="103"/>
        <item x="72"/>
        <item x="74"/>
        <item x="164"/>
        <item x="196"/>
        <item x="160"/>
        <item x="162"/>
        <item x="189"/>
        <item x="57"/>
        <item x="262"/>
        <item x="169"/>
        <item x="35"/>
        <item x="172"/>
        <item x="119"/>
        <item x="73"/>
        <item x="263"/>
        <item x="75"/>
        <item x="134"/>
        <item x="4"/>
        <item x="152"/>
        <item x="132"/>
        <item x="117"/>
        <item x="69"/>
        <item x="70"/>
        <item x="1"/>
        <item x="194"/>
        <item x="163"/>
        <item x="14"/>
        <item x="25"/>
        <item x="27"/>
        <item x="52"/>
        <item x="184"/>
        <item x="118"/>
        <item x="9"/>
        <item x="20"/>
        <item x="38"/>
        <item x="121"/>
        <item x="62"/>
        <item x="88"/>
        <item x="56"/>
        <item x="54"/>
        <item x="181"/>
        <item x="26"/>
        <item x="237"/>
        <item x="104"/>
        <item x="58"/>
        <item x="212"/>
        <item x="16"/>
        <item x="47"/>
        <item x="63"/>
        <item x="226"/>
        <item x="243"/>
        <item x="102"/>
        <item x="148"/>
        <item x="217"/>
        <item x="42"/>
        <item x="264"/>
        <item x="11"/>
        <item x="53"/>
        <item x="138"/>
        <item x="150"/>
        <item x="254"/>
        <item x="198"/>
        <item x="197"/>
        <item x="218"/>
        <item x="173"/>
        <item x="155"/>
        <item x="146"/>
        <item x="205"/>
        <item x="125"/>
        <item x="182"/>
        <item x="115"/>
        <item x="258"/>
        <item x="255"/>
        <item x="186"/>
        <item x="209"/>
        <item x="214"/>
        <item x="112"/>
        <item x="202"/>
        <item x="51"/>
        <item x="171"/>
        <item x="7"/>
        <item x="249"/>
        <item x="43"/>
        <item x="246"/>
        <item x="114"/>
        <item x="221"/>
        <item x="83"/>
        <item x="105"/>
        <item x="130"/>
        <item x="238"/>
        <item x="34"/>
        <item x="2"/>
        <item x="231"/>
        <item x="17"/>
        <item x="95"/>
        <item x="106"/>
        <item x="153"/>
        <item x="123"/>
        <item x="207"/>
        <item x="251"/>
        <item x="65"/>
        <item x="128"/>
        <item x="166"/>
        <item x="59"/>
        <item x="215"/>
        <item x="19"/>
        <item x="94"/>
        <item x="140"/>
        <item x="85"/>
        <item x="10"/>
        <item x="156"/>
        <item x="193"/>
        <item x="213"/>
        <item x="97"/>
        <item x="107"/>
        <item x="159"/>
        <item x="158"/>
        <item x="240"/>
        <item x="86"/>
        <item x="239"/>
        <item x="234"/>
        <item x="151"/>
        <item x="201"/>
        <item x="122"/>
        <item x="224"/>
        <item x="126"/>
        <item x="168"/>
        <item x="92"/>
        <item x="199"/>
        <item x="124"/>
        <item x="223"/>
        <item x="260"/>
        <item x="36"/>
        <item x="174"/>
        <item x="253"/>
        <item x="245"/>
        <item x="183"/>
        <item x="143"/>
        <item x="80"/>
        <item x="241"/>
        <item x="28"/>
        <item x="147"/>
        <item x="154"/>
        <item x="22"/>
        <item x="6"/>
        <item x="210"/>
        <item x="242"/>
        <item x="230"/>
        <item x="229"/>
        <item x="15"/>
        <item x="178"/>
        <item x="116"/>
        <item x="259"/>
        <item x="136"/>
        <item x="24"/>
        <item x="91"/>
        <item x="216"/>
        <item x="109"/>
        <item x="235"/>
        <item x="192"/>
        <item x="110"/>
        <item x="100"/>
        <item x="96"/>
        <item x="55"/>
        <item x="68"/>
        <item x="39"/>
        <item x="190"/>
        <item x="208"/>
        <item x="129"/>
        <item x="18"/>
        <item x="87"/>
        <item x="233"/>
        <item x="8"/>
        <item x="13"/>
        <item x="139"/>
        <item x="185"/>
        <item x="220"/>
        <item x="40"/>
        <item x="191"/>
        <item x="187"/>
        <item x="82"/>
        <item x="211"/>
        <item x="30"/>
        <item x="127"/>
        <item x="29"/>
        <item x="90"/>
        <item x="157"/>
        <item x="141"/>
        <item x="111"/>
        <item x="113"/>
        <item x="256"/>
        <item x="99"/>
        <item x="81"/>
        <item x="149"/>
        <item x="48"/>
        <item x="250"/>
        <item x="67"/>
        <item x="161"/>
        <item x="203"/>
        <item x="261"/>
        <item x="222"/>
        <item x="76"/>
        <item x="66"/>
        <item x="33"/>
        <item x="50"/>
        <item x="60"/>
        <item x="232"/>
        <item x="44"/>
        <item x="175"/>
        <item x="41"/>
        <item x="101"/>
        <item x="98"/>
        <item x="120"/>
        <item x="204"/>
        <item x="188"/>
        <item x="131"/>
        <item x="236"/>
        <item x="5"/>
        <item x="12"/>
        <item x="176"/>
        <item x="45"/>
        <item x="227"/>
        <item x="179"/>
        <item x="21"/>
        <item x="195"/>
        <item x="133"/>
        <item x="177"/>
        <item x="46"/>
        <item x="37"/>
        <item x="49"/>
        <item x="77"/>
        <item x="225"/>
        <item x="64"/>
        <item x="144"/>
        <item x="3"/>
        <item x="89"/>
        <item x="252"/>
        <item x="247"/>
        <item x="142"/>
        <item x="167"/>
        <item x="137"/>
        <item x="108"/>
        <item x="0"/>
        <item x="165"/>
        <item x="257"/>
        <item x="145"/>
        <item x="135"/>
        <item x="228"/>
        <item x="248"/>
        <item x="84"/>
        <item x="23"/>
        <item x="180"/>
        <item x="200"/>
        <item x="79"/>
        <item x="61"/>
        <item x="31"/>
        <item x="71"/>
        <item x="244"/>
        <item x="32"/>
        <item x="219"/>
        <item x="78"/>
        <item x="206"/>
        <item x="170"/>
        <item x="93"/>
        <item x="265"/>
        <item t="default"/>
      </items>
    </pivotField>
    <pivotField showAll="0"/>
    <pivotField showAll="0"/>
    <pivotField showAll="0"/>
    <pivotField showAll="0"/>
    <pivotField showAll="0"/>
    <pivotField showAll="0"/>
    <pivotField showAll="0"/>
    <pivotField dataField="1" numFmtId="165" showAll="0"/>
    <pivotField dataField="1" numFmtId="165" showAll="0"/>
    <pivotField dataField="1" numFmtId="165" showAll="0"/>
    <pivotField dataField="1" showAll="0"/>
  </pivotFields>
  <rowItems count="1">
    <i/>
  </rowItems>
  <colFields count="1">
    <field x="-2"/>
  </colFields>
  <colItems count="4">
    <i>
      <x/>
    </i>
    <i i="1">
      <x v="1"/>
    </i>
    <i i="2">
      <x v="2"/>
    </i>
    <i i="3">
      <x v="3"/>
    </i>
  </colItems>
  <dataFields count="4">
    <dataField name="Sum of Sales" fld="9" baseField="0" baseItem="0" numFmtId="165"/>
    <dataField name="Sum of Cost" fld="10" baseField="0" baseItem="0" numFmtId="165"/>
    <dataField name="Sum of Profit" fld="11" baseField="0" baseItem="0" numFmtId="165"/>
    <dataField name="Average of Profit Margin" fld="12" subtotal="average" baseField="0" baseItem="3" numFmtId="10"/>
  </dataFields>
  <formats count="7">
    <format dxfId="6">
      <pivotArea outline="0" collapsedLevelsAreSubtotals="1" fieldPosition="0">
        <references count="1">
          <reference field="4294967294" count="1" selected="0">
            <x v="3"/>
          </reference>
        </references>
      </pivotArea>
    </format>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 dxfId="1">
      <pivotArea outline="0" collapsedLevelsAreSubtotals="1"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1" type="dateBetween" evalOrder="-1" id="2" name="Order Date">
      <autoFilter ref="A1">
        <filterColumn colId="0">
          <customFilters and="1">
            <customFilter operator="greaterThanOrEqual" val="45962"/>
            <customFilter operator="lessThanOrEqual" val="459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E986D4-63B9-406F-85A9-B57284D6D612}" name="PivotTable5"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Y3:Z14" firstHeaderRow="1" firstDataRow="1" firstDataCol="1"/>
  <pivotFields count="14">
    <pivotField showAll="0"/>
    <pivotField numFmtId="164" showAll="0"/>
    <pivotField showAll="0">
      <items count="8">
        <item x="1"/>
        <item x="6"/>
        <item x="2"/>
        <item x="4"/>
        <item x="0"/>
        <item x="5"/>
        <item x="3"/>
        <item t="default"/>
      </items>
    </pivotField>
    <pivotField showAll="0">
      <items count="7">
        <item x="3"/>
        <item x="2"/>
        <item x="0"/>
        <item x="4"/>
        <item x="5"/>
        <item x="1"/>
        <item t="default"/>
      </items>
    </pivotField>
    <pivotField axis="axisRow" showAll="0" sortType="descending">
      <items count="11">
        <item x="3"/>
        <item x="5"/>
        <item x="2"/>
        <item x="0"/>
        <item x="7"/>
        <item x="1"/>
        <item x="6"/>
        <item x="4"/>
        <item x="9"/>
        <item x="8"/>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7">
        <item x="2"/>
        <item x="1"/>
        <item x="4"/>
        <item x="0"/>
        <item x="5"/>
        <item x="3"/>
        <item t="default"/>
      </items>
    </pivotField>
    <pivotField showAll="0"/>
    <pivotField numFmtId="165" showAll="0"/>
    <pivotField dataField="1" numFmtId="165" showAll="0"/>
    <pivotField numFmtId="165" showAll="0"/>
    <pivotField numFmtId="165" showAll="0"/>
    <pivotField numFmtId="10" showAll="0"/>
    <pivotField showAll="0" defaultSubtotal="0"/>
  </pivotFields>
  <rowFields count="1">
    <field x="4"/>
  </rowFields>
  <rowItems count="11">
    <i>
      <x v="4"/>
    </i>
    <i>
      <x v="6"/>
    </i>
    <i>
      <x v="7"/>
    </i>
    <i>
      <x v="9"/>
    </i>
    <i>
      <x v="5"/>
    </i>
    <i>
      <x/>
    </i>
    <i>
      <x v="1"/>
    </i>
    <i>
      <x v="8"/>
    </i>
    <i>
      <x v="3"/>
    </i>
    <i>
      <x v="2"/>
    </i>
    <i t="grand">
      <x/>
    </i>
  </rowItems>
  <colItems count="1">
    <i/>
  </colItems>
  <dataFields count="1">
    <dataField name="Sum of Sales"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CBEB73-77EA-4B90-AB72-656A468EB631}"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R3:S11" firstHeaderRow="1" firstDataRow="1" firstDataCol="1"/>
  <pivotFields count="11">
    <pivotField showAll="0"/>
    <pivotField numFmtId="164" showAll="0"/>
    <pivotField axis="axisRow" showAll="0">
      <items count="8">
        <item x="1"/>
        <item x="6"/>
        <item x="2"/>
        <item x="4"/>
        <item x="0"/>
        <item x="5"/>
        <item x="3"/>
        <item t="default"/>
      </items>
    </pivotField>
    <pivotField showAll="0"/>
    <pivotField showAll="0"/>
    <pivotField showAll="0"/>
    <pivotField showAll="0"/>
    <pivotField showAll="0"/>
    <pivotField numFmtId="165" showAll="0"/>
    <pivotField dataField="1" numFmtId="165" showAll="0"/>
    <pivotField numFmtId="165" showAll="0"/>
  </pivotFields>
  <rowFields count="1">
    <field x="2"/>
  </rowFields>
  <rowItems count="8">
    <i>
      <x/>
    </i>
    <i>
      <x v="1"/>
    </i>
    <i>
      <x v="2"/>
    </i>
    <i>
      <x v="3"/>
    </i>
    <i>
      <x v="4"/>
    </i>
    <i>
      <x v="5"/>
    </i>
    <i>
      <x v="6"/>
    </i>
    <i t="grand">
      <x/>
    </i>
  </rowItems>
  <colItems count="1">
    <i/>
  </colItems>
  <dataFields count="1">
    <dataField name="Sum of Sales" fld="9"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EA1E17-566B-467B-B033-A6A118575E87}" name="PivotTable3"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I3:J17" firstHeaderRow="1" firstDataRow="1" firstDataCol="1"/>
  <pivotFields count="14">
    <pivotField showAll="0"/>
    <pivotField axis="axisRow" numFmtId="164" showAll="0">
      <items count="15">
        <item x="0"/>
        <item x="1"/>
        <item x="2"/>
        <item x="3"/>
        <item x="4"/>
        <item x="5"/>
        <item x="6"/>
        <item x="7"/>
        <item x="8"/>
        <item x="9"/>
        <item x="10"/>
        <item x="11"/>
        <item x="12"/>
        <item x="13"/>
        <item t="default"/>
      </items>
    </pivotField>
    <pivotField showAll="0">
      <items count="8">
        <item x="1"/>
        <item x="6"/>
        <item x="2"/>
        <item x="4"/>
        <item x="0"/>
        <item x="5"/>
        <item x="3"/>
        <item t="default"/>
      </items>
    </pivotField>
    <pivotField showAll="0">
      <items count="7">
        <item x="3"/>
        <item x="2"/>
        <item x="0"/>
        <item x="4"/>
        <item x="5"/>
        <item x="1"/>
        <item t="default"/>
      </items>
    </pivotField>
    <pivotField showAll="0"/>
    <pivotField showAll="0">
      <items count="4">
        <item x="0"/>
        <item x="1"/>
        <item x="2"/>
        <item t="default"/>
      </items>
    </pivotField>
    <pivotField showAll="0">
      <items count="7">
        <item x="2"/>
        <item x="1"/>
        <item x="4"/>
        <item x="0"/>
        <item x="5"/>
        <item x="3"/>
        <item t="default"/>
      </items>
    </pivotField>
    <pivotField showAll="0"/>
    <pivotField numFmtId="165" showAll="0"/>
    <pivotField dataField="1" numFmtId="165" showAll="0"/>
    <pivotField numFmtId="165" showAll="0"/>
    <pivotField numFmtId="165" showAll="0"/>
    <pivotField numFmtId="10" showAll="0"/>
    <pivotField axis="axisRow" showAll="0">
      <items count="5">
        <item x="0"/>
        <item x="1"/>
        <item x="2"/>
        <item x="3"/>
        <item t="default"/>
      </items>
    </pivotField>
  </pivotFields>
  <rowFields count="2">
    <field x="13"/>
    <field x="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9"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4FD118-82F7-4527-B1DB-A2D46D4F3175}" name="PivotTable2"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10" firstHeaderRow="1" firstDataRow="1" firstDataCol="1"/>
  <pivotFields count="14">
    <pivotField showAll="0"/>
    <pivotField numFmtId="164" showAll="0">
      <items count="15">
        <item x="0"/>
        <item x="1"/>
        <item x="2"/>
        <item x="3"/>
        <item x="4"/>
        <item x="5"/>
        <item x="6"/>
        <item x="7"/>
        <item x="8"/>
        <item x="9"/>
        <item x="10"/>
        <item x="11"/>
        <item x="12"/>
        <item x="13"/>
        <item t="default"/>
      </items>
    </pivotField>
    <pivotField showAll="0">
      <items count="8">
        <item x="1"/>
        <item x="6"/>
        <item x="2"/>
        <item x="4"/>
        <item x="0"/>
        <item x="5"/>
        <item x="3"/>
        <item t="default"/>
      </items>
    </pivotField>
    <pivotField axis="axisRow" showAll="0">
      <items count="7">
        <item x="3"/>
        <item x="2"/>
        <item x="0"/>
        <item x="4"/>
        <item x="5"/>
        <item x="1"/>
        <item t="default"/>
      </items>
    </pivotField>
    <pivotField showAll="0"/>
    <pivotField showAll="0">
      <items count="4">
        <item x="0"/>
        <item x="1"/>
        <item x="2"/>
        <item t="default"/>
      </items>
    </pivotField>
    <pivotField showAll="0">
      <items count="7">
        <item x="2"/>
        <item x="1"/>
        <item x="4"/>
        <item x="0"/>
        <item x="5"/>
        <item x="3"/>
        <item t="default"/>
      </items>
    </pivotField>
    <pivotField showAll="0"/>
    <pivotField numFmtId="165" showAll="0"/>
    <pivotField dataField="1" numFmtId="165" showAll="0"/>
    <pivotField numFmtId="165" showAll="0"/>
    <pivotField numFmtId="165" showAll="0"/>
    <pivotField numFmtId="10" showAll="0"/>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Sales" fld="9"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F14DAD-B332-4233-BBCA-259AC8EB0AD8}" sourceName="City">
  <pivotTables>
    <pivotTable tabId="4" name="PivotTable5"/>
    <pivotTable tabId="4" name="PivotTable2"/>
    <pivotTable tabId="4" name="PivotTable3"/>
  </pivotTables>
  <data>
    <tabular pivotCacheId="1598193552">
      <items count="7">
        <i x="1" s="1"/>
        <i x="6" s="1"/>
        <i x="2" s="1"/>
        <i x="4" s="1"/>
        <i x="0"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AA782A-8DC9-4A61-A7AC-185C4A0B08D8}" sourceName="Category">
  <pivotTables>
    <pivotTable tabId="4" name="PivotTable5"/>
    <pivotTable tabId="4" name="PivotTable2"/>
    <pivotTable tabId="4" name="PivotTable3"/>
  </pivotTables>
  <data>
    <tabular pivotCacheId="1598193552">
      <items count="6">
        <i x="3" s="1"/>
        <i x="2" s="1"/>
        <i x="0" s="1"/>
        <i x="4"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 xr10:uid="{5589AA1A-0F3A-4B10-8247-3CA6B1A54965}" sourceName="Material">
  <pivotTables>
    <pivotTable tabId="4" name="PivotTable5"/>
    <pivotTable tabId="4" name="PivotTable2"/>
    <pivotTable tabId="4" name="PivotTable3"/>
  </pivotTables>
  <data>
    <tabular pivotCacheId="159819355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C0E36EF-0BBC-4A26-A7F5-FC55465A46E9}" sourceName="Salesperson">
  <pivotTables>
    <pivotTable tabId="4" name="PivotTable5"/>
    <pivotTable tabId="4" name="PivotTable2"/>
    <pivotTable tabId="4" name="PivotTable3"/>
  </pivotTables>
  <data>
    <tabular pivotCacheId="1598193552">
      <items count="6">
        <i x="2" s="1"/>
        <i x="1" s="1"/>
        <i x="4"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0191B32-B029-4E12-8DFA-C0E7BDBABA6D}" cache="Slicer_City" caption="City" rowHeight="241300"/>
  <slicer name="Category" xr10:uid="{F003B7E9-8E47-4AFE-9CF4-69E36414F65C}" cache="Slicer_Category" caption="Category" rowHeight="241300"/>
  <slicer name="Material" xr10:uid="{01DA058C-ED8E-4253-87B8-2A15189892D3}" cache="Slicer_Material" caption="Material" rowHeight="241300"/>
  <slicer name="Salesperson" xr10:uid="{40A87197-ACA8-43E4-80D7-EA1D9F50E60E}" cache="Slicer_Salesperson" caption="Salespers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C476-3AD0-4987-BCF9-A9D7D2F02467}">
  <dimension ref="A3:D505"/>
  <sheetViews>
    <sheetView workbookViewId="0">
      <selection activeCell="I7" sqref="I7"/>
    </sheetView>
  </sheetViews>
  <sheetFormatPr defaultRowHeight="14.5" x14ac:dyDescent="0.35"/>
  <cols>
    <col min="1" max="1" width="15.26953125" style="5" bestFit="1" customWidth="1"/>
    <col min="2" max="3" width="14.26953125" style="5" bestFit="1" customWidth="1"/>
    <col min="4" max="5" width="21.54296875" bestFit="1" customWidth="1"/>
  </cols>
  <sheetData>
    <row r="3" spans="1:4" x14ac:dyDescent="0.35">
      <c r="A3" s="5" t="s">
        <v>45</v>
      </c>
      <c r="B3" s="5" t="s">
        <v>46</v>
      </c>
      <c r="C3" s="5" t="s">
        <v>47</v>
      </c>
      <c r="D3" t="s">
        <v>48</v>
      </c>
    </row>
    <row r="4" spans="1:4" x14ac:dyDescent="0.35">
      <c r="A4" s="5">
        <v>123942294</v>
      </c>
      <c r="B4" s="5">
        <v>92497859.279999942</v>
      </c>
      <c r="C4" s="5">
        <v>31444434.71999998</v>
      </c>
      <c r="D4" s="4">
        <v>0.25376845495204459</v>
      </c>
    </row>
    <row r="5" spans="1:4" x14ac:dyDescent="0.35">
      <c r="A5"/>
      <c r="B5"/>
      <c r="C5"/>
    </row>
    <row r="6" spans="1:4" x14ac:dyDescent="0.35">
      <c r="A6"/>
      <c r="B6"/>
      <c r="C6"/>
    </row>
    <row r="7" spans="1:4" x14ac:dyDescent="0.35">
      <c r="A7"/>
      <c r="B7"/>
      <c r="C7"/>
    </row>
    <row r="8" spans="1:4" x14ac:dyDescent="0.35">
      <c r="A8"/>
      <c r="B8"/>
      <c r="C8"/>
    </row>
    <row r="9" spans="1:4" x14ac:dyDescent="0.35">
      <c r="A9"/>
      <c r="B9"/>
      <c r="C9"/>
    </row>
    <row r="10" spans="1:4" x14ac:dyDescent="0.35">
      <c r="A10"/>
      <c r="B10"/>
      <c r="C10"/>
    </row>
    <row r="11" spans="1:4" x14ac:dyDescent="0.35">
      <c r="A11"/>
      <c r="B11"/>
      <c r="C11"/>
    </row>
    <row r="12" spans="1:4" x14ac:dyDescent="0.35">
      <c r="A12"/>
      <c r="B12"/>
      <c r="C12"/>
    </row>
    <row r="13" spans="1:4" x14ac:dyDescent="0.35">
      <c r="A13"/>
      <c r="B13"/>
      <c r="C13"/>
    </row>
    <row r="14" spans="1:4" x14ac:dyDescent="0.35">
      <c r="A14"/>
      <c r="B14"/>
      <c r="C14"/>
    </row>
    <row r="15" spans="1:4" x14ac:dyDescent="0.35">
      <c r="A15"/>
      <c r="B15"/>
      <c r="C15"/>
    </row>
    <row r="16" spans="1:4" x14ac:dyDescent="0.35">
      <c r="A16"/>
      <c r="B16"/>
      <c r="C16"/>
    </row>
    <row r="17" spans="1:3" x14ac:dyDescent="0.35">
      <c r="A17"/>
      <c r="B17"/>
      <c r="C17"/>
    </row>
    <row r="18" spans="1:3" x14ac:dyDescent="0.35">
      <c r="A18"/>
      <c r="B18"/>
      <c r="C18"/>
    </row>
    <row r="19" spans="1:3" x14ac:dyDescent="0.35">
      <c r="A19"/>
      <c r="B19"/>
      <c r="C19"/>
    </row>
    <row r="20" spans="1:3" x14ac:dyDescent="0.35">
      <c r="A20"/>
      <c r="B20"/>
      <c r="C20"/>
    </row>
    <row r="21" spans="1:3" x14ac:dyDescent="0.35">
      <c r="A21"/>
      <c r="B21"/>
      <c r="C21"/>
    </row>
    <row r="22" spans="1:3" x14ac:dyDescent="0.35">
      <c r="A22"/>
      <c r="B22"/>
      <c r="C22"/>
    </row>
    <row r="23" spans="1:3" x14ac:dyDescent="0.35">
      <c r="A23"/>
      <c r="B23"/>
      <c r="C23"/>
    </row>
    <row r="24" spans="1:3" x14ac:dyDescent="0.35">
      <c r="A24"/>
      <c r="B24"/>
      <c r="C24"/>
    </row>
    <row r="25" spans="1:3" x14ac:dyDescent="0.35">
      <c r="A25"/>
      <c r="B25"/>
      <c r="C25"/>
    </row>
    <row r="26" spans="1:3" x14ac:dyDescent="0.35">
      <c r="A26"/>
      <c r="B26"/>
      <c r="C26"/>
    </row>
    <row r="27" spans="1:3" x14ac:dyDescent="0.35">
      <c r="A27"/>
      <c r="B27"/>
      <c r="C27"/>
    </row>
    <row r="28" spans="1:3" x14ac:dyDescent="0.35">
      <c r="A28"/>
      <c r="B28"/>
      <c r="C28"/>
    </row>
    <row r="29" spans="1:3" x14ac:dyDescent="0.35">
      <c r="A29"/>
      <c r="B29"/>
      <c r="C29"/>
    </row>
    <row r="30" spans="1:3" x14ac:dyDescent="0.35">
      <c r="A30"/>
      <c r="B30"/>
      <c r="C30"/>
    </row>
    <row r="31" spans="1:3" x14ac:dyDescent="0.35">
      <c r="A31"/>
      <c r="B31"/>
      <c r="C31"/>
    </row>
    <row r="32" spans="1:3" x14ac:dyDescent="0.35">
      <c r="A32"/>
      <c r="B32"/>
      <c r="C32"/>
    </row>
    <row r="33" spans="1:3" x14ac:dyDescent="0.35">
      <c r="A33"/>
      <c r="B33"/>
      <c r="C33"/>
    </row>
    <row r="34" spans="1:3" x14ac:dyDescent="0.35">
      <c r="A34"/>
      <c r="B34"/>
      <c r="C34"/>
    </row>
    <row r="35" spans="1:3" x14ac:dyDescent="0.35">
      <c r="A35"/>
      <c r="B35"/>
      <c r="C35"/>
    </row>
    <row r="36" spans="1:3" x14ac:dyDescent="0.35">
      <c r="A36"/>
      <c r="B36"/>
      <c r="C36"/>
    </row>
    <row r="37" spans="1:3" x14ac:dyDescent="0.35">
      <c r="A37"/>
      <c r="B37"/>
      <c r="C37"/>
    </row>
    <row r="38" spans="1:3" x14ac:dyDescent="0.35">
      <c r="A38"/>
      <c r="B38"/>
      <c r="C38"/>
    </row>
    <row r="39" spans="1:3" x14ac:dyDescent="0.35">
      <c r="A39"/>
      <c r="B39"/>
      <c r="C39"/>
    </row>
    <row r="40" spans="1:3" x14ac:dyDescent="0.35">
      <c r="A40"/>
      <c r="B40"/>
      <c r="C40"/>
    </row>
    <row r="41" spans="1:3" x14ac:dyDescent="0.35">
      <c r="A41"/>
      <c r="B41"/>
      <c r="C41"/>
    </row>
    <row r="42" spans="1:3" x14ac:dyDescent="0.35">
      <c r="A42"/>
      <c r="B42"/>
      <c r="C42"/>
    </row>
    <row r="43" spans="1:3" x14ac:dyDescent="0.35">
      <c r="A43"/>
      <c r="B43"/>
      <c r="C43"/>
    </row>
    <row r="44" spans="1:3" x14ac:dyDescent="0.35">
      <c r="A44"/>
      <c r="B44"/>
      <c r="C44"/>
    </row>
    <row r="45" spans="1:3" x14ac:dyDescent="0.35">
      <c r="A45"/>
      <c r="B45"/>
      <c r="C45"/>
    </row>
    <row r="46" spans="1:3" x14ac:dyDescent="0.35">
      <c r="A46"/>
      <c r="B46"/>
      <c r="C46"/>
    </row>
    <row r="47" spans="1:3" x14ac:dyDescent="0.35">
      <c r="A47"/>
      <c r="B47"/>
      <c r="C47"/>
    </row>
    <row r="48" spans="1:3" x14ac:dyDescent="0.35">
      <c r="A48"/>
      <c r="B48"/>
      <c r="C48"/>
    </row>
    <row r="49" spans="1:3" x14ac:dyDescent="0.35">
      <c r="A49"/>
      <c r="B49"/>
      <c r="C49"/>
    </row>
    <row r="50" spans="1:3" x14ac:dyDescent="0.35">
      <c r="A50"/>
      <c r="B50"/>
      <c r="C50"/>
    </row>
    <row r="51" spans="1:3" x14ac:dyDescent="0.35">
      <c r="A51"/>
      <c r="B51"/>
      <c r="C51"/>
    </row>
    <row r="52" spans="1:3" x14ac:dyDescent="0.35">
      <c r="A52"/>
      <c r="B52"/>
      <c r="C52"/>
    </row>
    <row r="53" spans="1:3" x14ac:dyDescent="0.35">
      <c r="A53"/>
      <c r="B53"/>
      <c r="C53"/>
    </row>
    <row r="54" spans="1:3" x14ac:dyDescent="0.35">
      <c r="A54"/>
      <c r="B54"/>
      <c r="C54"/>
    </row>
    <row r="55" spans="1:3" x14ac:dyDescent="0.35">
      <c r="A55"/>
      <c r="B55"/>
      <c r="C55"/>
    </row>
    <row r="56" spans="1:3" x14ac:dyDescent="0.35">
      <c r="A56"/>
      <c r="B56"/>
      <c r="C56"/>
    </row>
    <row r="57" spans="1:3" x14ac:dyDescent="0.35">
      <c r="A57"/>
      <c r="B57"/>
      <c r="C57"/>
    </row>
    <row r="58" spans="1:3" x14ac:dyDescent="0.35">
      <c r="A58"/>
      <c r="B58"/>
      <c r="C58"/>
    </row>
    <row r="59" spans="1:3" x14ac:dyDescent="0.35">
      <c r="A59"/>
      <c r="B59"/>
      <c r="C59"/>
    </row>
    <row r="60" spans="1:3" x14ac:dyDescent="0.35">
      <c r="A60"/>
      <c r="B60"/>
      <c r="C60"/>
    </row>
    <row r="61" spans="1:3" x14ac:dyDescent="0.35">
      <c r="A61"/>
      <c r="B61"/>
      <c r="C61"/>
    </row>
    <row r="62" spans="1:3" x14ac:dyDescent="0.35">
      <c r="A62"/>
      <c r="B62"/>
      <c r="C62"/>
    </row>
    <row r="63" spans="1:3" x14ac:dyDescent="0.35">
      <c r="A63"/>
      <c r="B63"/>
      <c r="C63"/>
    </row>
    <row r="64" spans="1:3" x14ac:dyDescent="0.35">
      <c r="A64"/>
      <c r="B64"/>
      <c r="C64"/>
    </row>
    <row r="65" spans="1:3" x14ac:dyDescent="0.35">
      <c r="A65"/>
      <c r="B65"/>
      <c r="C65"/>
    </row>
    <row r="66" spans="1:3" x14ac:dyDescent="0.35">
      <c r="A66"/>
      <c r="B66"/>
      <c r="C66"/>
    </row>
    <row r="67" spans="1:3" x14ac:dyDescent="0.35">
      <c r="A67"/>
      <c r="B67"/>
      <c r="C67"/>
    </row>
    <row r="68" spans="1:3" x14ac:dyDescent="0.35">
      <c r="A68"/>
      <c r="B68"/>
      <c r="C68"/>
    </row>
    <row r="69" spans="1:3" x14ac:dyDescent="0.35">
      <c r="A69"/>
      <c r="B69"/>
      <c r="C69"/>
    </row>
    <row r="70" spans="1:3" x14ac:dyDescent="0.35">
      <c r="A70"/>
      <c r="B70"/>
      <c r="C70"/>
    </row>
    <row r="71" spans="1:3" x14ac:dyDescent="0.35">
      <c r="A71"/>
      <c r="B71"/>
      <c r="C71"/>
    </row>
    <row r="72" spans="1:3" x14ac:dyDescent="0.35">
      <c r="A72"/>
      <c r="B72"/>
      <c r="C72"/>
    </row>
    <row r="73" spans="1:3" x14ac:dyDescent="0.35">
      <c r="A73"/>
      <c r="B73"/>
      <c r="C73"/>
    </row>
    <row r="74" spans="1:3" x14ac:dyDescent="0.35">
      <c r="A74"/>
      <c r="B74"/>
      <c r="C74"/>
    </row>
    <row r="75" spans="1:3" x14ac:dyDescent="0.35">
      <c r="A75"/>
      <c r="B75"/>
      <c r="C75"/>
    </row>
    <row r="76" spans="1:3" x14ac:dyDescent="0.35">
      <c r="A76"/>
      <c r="B76"/>
      <c r="C76"/>
    </row>
    <row r="77" spans="1:3" x14ac:dyDescent="0.35">
      <c r="A77"/>
      <c r="B77"/>
      <c r="C77"/>
    </row>
    <row r="78" spans="1:3" x14ac:dyDescent="0.35">
      <c r="A78"/>
      <c r="B78"/>
      <c r="C78"/>
    </row>
    <row r="79" spans="1:3" x14ac:dyDescent="0.35">
      <c r="A79"/>
      <c r="B79"/>
      <c r="C79"/>
    </row>
    <row r="80" spans="1:3" x14ac:dyDescent="0.35">
      <c r="A80"/>
      <c r="B80"/>
      <c r="C80"/>
    </row>
    <row r="81" spans="1:3" x14ac:dyDescent="0.35">
      <c r="A81"/>
      <c r="B81"/>
      <c r="C81"/>
    </row>
    <row r="82" spans="1:3" x14ac:dyDescent="0.35">
      <c r="A82"/>
      <c r="B82"/>
      <c r="C82"/>
    </row>
    <row r="83" spans="1:3" x14ac:dyDescent="0.35">
      <c r="A83"/>
      <c r="B83"/>
      <c r="C83"/>
    </row>
    <row r="84" spans="1:3" x14ac:dyDescent="0.35">
      <c r="A84"/>
      <c r="B84"/>
      <c r="C84"/>
    </row>
    <row r="85" spans="1:3" x14ac:dyDescent="0.35">
      <c r="A85"/>
      <c r="B85"/>
      <c r="C85"/>
    </row>
    <row r="86" spans="1:3" x14ac:dyDescent="0.35">
      <c r="A86"/>
      <c r="B86"/>
      <c r="C86"/>
    </row>
    <row r="87" spans="1:3" x14ac:dyDescent="0.35">
      <c r="A87"/>
      <c r="B87"/>
      <c r="C87"/>
    </row>
    <row r="88" spans="1:3" x14ac:dyDescent="0.35">
      <c r="A88"/>
      <c r="B88"/>
      <c r="C88"/>
    </row>
    <row r="89" spans="1:3" x14ac:dyDescent="0.35">
      <c r="A89"/>
      <c r="B89"/>
      <c r="C89"/>
    </row>
    <row r="90" spans="1:3" x14ac:dyDescent="0.35">
      <c r="A90"/>
      <c r="B90"/>
      <c r="C90"/>
    </row>
    <row r="91" spans="1:3" x14ac:dyDescent="0.35">
      <c r="A91"/>
      <c r="B91"/>
      <c r="C91"/>
    </row>
    <row r="92" spans="1:3" x14ac:dyDescent="0.35">
      <c r="A92"/>
      <c r="B92"/>
      <c r="C92"/>
    </row>
    <row r="93" spans="1:3" x14ac:dyDescent="0.35">
      <c r="A93"/>
      <c r="B93"/>
      <c r="C93"/>
    </row>
    <row r="94" spans="1:3" x14ac:dyDescent="0.35">
      <c r="A94"/>
      <c r="B94"/>
      <c r="C94"/>
    </row>
    <row r="95" spans="1:3" x14ac:dyDescent="0.35">
      <c r="A95"/>
      <c r="B95"/>
      <c r="C95"/>
    </row>
    <row r="96" spans="1:3" x14ac:dyDescent="0.35">
      <c r="A96"/>
      <c r="B96"/>
      <c r="C96"/>
    </row>
    <row r="97" spans="1:3" x14ac:dyDescent="0.35">
      <c r="A97"/>
      <c r="B97"/>
      <c r="C97"/>
    </row>
    <row r="98" spans="1:3" x14ac:dyDescent="0.35">
      <c r="A98"/>
      <c r="B98"/>
      <c r="C98"/>
    </row>
    <row r="99" spans="1:3" x14ac:dyDescent="0.35">
      <c r="A99"/>
      <c r="B99"/>
      <c r="C99"/>
    </row>
    <row r="100" spans="1:3" x14ac:dyDescent="0.35">
      <c r="A100"/>
      <c r="B100"/>
      <c r="C100"/>
    </row>
    <row r="101" spans="1:3" x14ac:dyDescent="0.35">
      <c r="A101"/>
      <c r="B101"/>
      <c r="C101"/>
    </row>
    <row r="102" spans="1:3" x14ac:dyDescent="0.35">
      <c r="A102"/>
      <c r="B102"/>
      <c r="C102"/>
    </row>
    <row r="103" spans="1:3" x14ac:dyDescent="0.35">
      <c r="A103"/>
      <c r="B103"/>
      <c r="C103"/>
    </row>
    <row r="104" spans="1:3" x14ac:dyDescent="0.35">
      <c r="A104"/>
      <c r="B104"/>
      <c r="C104"/>
    </row>
    <row r="105" spans="1:3" x14ac:dyDescent="0.35">
      <c r="A105"/>
      <c r="B105"/>
      <c r="C105"/>
    </row>
    <row r="106" spans="1:3" x14ac:dyDescent="0.35">
      <c r="A106"/>
      <c r="B106"/>
      <c r="C106"/>
    </row>
    <row r="107" spans="1:3" x14ac:dyDescent="0.35">
      <c r="A107"/>
      <c r="B107"/>
      <c r="C107"/>
    </row>
    <row r="108" spans="1:3" x14ac:dyDescent="0.35">
      <c r="A108"/>
      <c r="B108"/>
      <c r="C108"/>
    </row>
    <row r="109" spans="1:3" x14ac:dyDescent="0.35">
      <c r="A109"/>
      <c r="B109"/>
      <c r="C109"/>
    </row>
    <row r="110" spans="1:3" x14ac:dyDescent="0.35">
      <c r="A110"/>
      <c r="B110"/>
      <c r="C110"/>
    </row>
    <row r="111" spans="1:3" x14ac:dyDescent="0.35">
      <c r="A111"/>
      <c r="B111"/>
      <c r="C111"/>
    </row>
    <row r="112" spans="1:3" x14ac:dyDescent="0.35">
      <c r="A112"/>
      <c r="B112"/>
      <c r="C112"/>
    </row>
    <row r="113" spans="1:3" x14ac:dyDescent="0.35">
      <c r="A113"/>
      <c r="B113"/>
      <c r="C113"/>
    </row>
    <row r="114" spans="1:3" x14ac:dyDescent="0.35">
      <c r="A114"/>
      <c r="B114"/>
      <c r="C114"/>
    </row>
    <row r="115" spans="1:3" x14ac:dyDescent="0.35">
      <c r="A115"/>
      <c r="B115"/>
      <c r="C115"/>
    </row>
    <row r="116" spans="1:3" x14ac:dyDescent="0.35">
      <c r="A116"/>
      <c r="B116"/>
      <c r="C116"/>
    </row>
    <row r="117" spans="1:3" x14ac:dyDescent="0.35">
      <c r="A117"/>
      <c r="B117"/>
      <c r="C117"/>
    </row>
    <row r="118" spans="1:3" x14ac:dyDescent="0.35">
      <c r="A118"/>
      <c r="B118"/>
      <c r="C118"/>
    </row>
    <row r="119" spans="1:3" x14ac:dyDescent="0.35">
      <c r="A119"/>
      <c r="B119"/>
      <c r="C119"/>
    </row>
    <row r="120" spans="1:3" x14ac:dyDescent="0.35">
      <c r="A120"/>
      <c r="B120"/>
      <c r="C120"/>
    </row>
    <row r="121" spans="1:3" x14ac:dyDescent="0.35">
      <c r="A121"/>
      <c r="B121"/>
      <c r="C121"/>
    </row>
    <row r="122" spans="1:3" x14ac:dyDescent="0.35">
      <c r="A122"/>
      <c r="B122"/>
      <c r="C122"/>
    </row>
    <row r="123" spans="1:3" x14ac:dyDescent="0.35">
      <c r="A123"/>
      <c r="B123"/>
      <c r="C123"/>
    </row>
    <row r="124" spans="1:3" x14ac:dyDescent="0.35">
      <c r="A124"/>
      <c r="B124"/>
      <c r="C124"/>
    </row>
    <row r="125" spans="1:3" x14ac:dyDescent="0.35">
      <c r="A125"/>
      <c r="B125"/>
      <c r="C125"/>
    </row>
    <row r="126" spans="1:3" x14ac:dyDescent="0.35">
      <c r="A126"/>
      <c r="B126"/>
      <c r="C126"/>
    </row>
    <row r="127" spans="1:3" x14ac:dyDescent="0.35">
      <c r="A127"/>
      <c r="B127"/>
      <c r="C127"/>
    </row>
    <row r="128" spans="1:3" x14ac:dyDescent="0.35">
      <c r="A128"/>
      <c r="B128"/>
      <c r="C128"/>
    </row>
    <row r="129" spans="1:3" x14ac:dyDescent="0.35">
      <c r="A129"/>
      <c r="B129"/>
      <c r="C129"/>
    </row>
    <row r="130" spans="1:3" x14ac:dyDescent="0.35">
      <c r="A130"/>
      <c r="B130"/>
      <c r="C130"/>
    </row>
    <row r="131" spans="1:3" x14ac:dyDescent="0.35">
      <c r="A131"/>
      <c r="B131"/>
      <c r="C131"/>
    </row>
    <row r="132" spans="1:3" x14ac:dyDescent="0.35">
      <c r="A132"/>
      <c r="B132"/>
      <c r="C132"/>
    </row>
    <row r="133" spans="1:3" x14ac:dyDescent="0.35">
      <c r="A133"/>
      <c r="B133"/>
      <c r="C133"/>
    </row>
    <row r="134" spans="1:3" x14ac:dyDescent="0.35">
      <c r="A134"/>
      <c r="B134"/>
      <c r="C134"/>
    </row>
    <row r="135" spans="1:3" x14ac:dyDescent="0.35">
      <c r="A135"/>
      <c r="B135"/>
      <c r="C135"/>
    </row>
    <row r="136" spans="1:3" x14ac:dyDescent="0.35">
      <c r="A136"/>
      <c r="B136"/>
      <c r="C136"/>
    </row>
    <row r="137" spans="1:3" x14ac:dyDescent="0.35">
      <c r="A137"/>
      <c r="B137"/>
      <c r="C137"/>
    </row>
    <row r="138" spans="1:3" x14ac:dyDescent="0.35">
      <c r="A138"/>
      <c r="B138"/>
      <c r="C138"/>
    </row>
    <row r="139" spans="1:3" x14ac:dyDescent="0.35">
      <c r="A139"/>
      <c r="B139"/>
      <c r="C139"/>
    </row>
    <row r="140" spans="1:3" x14ac:dyDescent="0.35">
      <c r="A140"/>
      <c r="B140"/>
      <c r="C140"/>
    </row>
    <row r="141" spans="1:3" x14ac:dyDescent="0.35">
      <c r="A141"/>
      <c r="B141"/>
      <c r="C141"/>
    </row>
    <row r="142" spans="1:3" x14ac:dyDescent="0.35">
      <c r="A142"/>
      <c r="B142"/>
      <c r="C142"/>
    </row>
    <row r="143" spans="1:3" x14ac:dyDescent="0.35">
      <c r="A143"/>
      <c r="B143"/>
      <c r="C143"/>
    </row>
    <row r="144" spans="1:3" x14ac:dyDescent="0.35">
      <c r="A144"/>
      <c r="B144"/>
      <c r="C144"/>
    </row>
    <row r="145" spans="1:3" x14ac:dyDescent="0.35">
      <c r="A145"/>
      <c r="B145"/>
      <c r="C145"/>
    </row>
    <row r="146" spans="1:3" x14ac:dyDescent="0.35">
      <c r="A146"/>
      <c r="B146"/>
      <c r="C146"/>
    </row>
    <row r="147" spans="1:3" x14ac:dyDescent="0.35">
      <c r="A147"/>
      <c r="B147"/>
      <c r="C147"/>
    </row>
    <row r="148" spans="1:3" x14ac:dyDescent="0.35">
      <c r="A148"/>
      <c r="B148"/>
      <c r="C148"/>
    </row>
    <row r="149" spans="1:3" x14ac:dyDescent="0.35">
      <c r="A149"/>
      <c r="B149"/>
      <c r="C149"/>
    </row>
    <row r="150" spans="1:3" x14ac:dyDescent="0.35">
      <c r="A150"/>
      <c r="B150"/>
      <c r="C150"/>
    </row>
    <row r="151" spans="1:3" x14ac:dyDescent="0.35">
      <c r="A151"/>
      <c r="B151"/>
      <c r="C151"/>
    </row>
    <row r="152" spans="1:3" x14ac:dyDescent="0.35">
      <c r="A152"/>
      <c r="B152"/>
      <c r="C152"/>
    </row>
    <row r="153" spans="1:3" x14ac:dyDescent="0.35">
      <c r="A153"/>
      <c r="B153"/>
      <c r="C153"/>
    </row>
    <row r="154" spans="1:3" x14ac:dyDescent="0.35">
      <c r="A154"/>
      <c r="B154"/>
      <c r="C154"/>
    </row>
    <row r="155" spans="1:3" x14ac:dyDescent="0.35">
      <c r="A155"/>
      <c r="B155"/>
      <c r="C155"/>
    </row>
    <row r="156" spans="1:3" x14ac:dyDescent="0.35">
      <c r="A156"/>
      <c r="B156"/>
      <c r="C156"/>
    </row>
    <row r="157" spans="1:3" x14ac:dyDescent="0.35">
      <c r="A157"/>
      <c r="B157"/>
      <c r="C157"/>
    </row>
    <row r="158" spans="1:3" x14ac:dyDescent="0.35">
      <c r="A158"/>
      <c r="B158"/>
      <c r="C158"/>
    </row>
    <row r="159" spans="1:3" x14ac:dyDescent="0.35">
      <c r="A159"/>
      <c r="B159"/>
      <c r="C159"/>
    </row>
    <row r="160" spans="1:3" x14ac:dyDescent="0.35">
      <c r="A160"/>
      <c r="B160"/>
      <c r="C160"/>
    </row>
    <row r="161" spans="1:3" x14ac:dyDescent="0.35">
      <c r="A161"/>
      <c r="B161"/>
      <c r="C161"/>
    </row>
    <row r="162" spans="1:3" x14ac:dyDescent="0.35">
      <c r="A162"/>
      <c r="B162"/>
      <c r="C162"/>
    </row>
    <row r="163" spans="1:3" x14ac:dyDescent="0.35">
      <c r="A163"/>
      <c r="B163"/>
      <c r="C163"/>
    </row>
    <row r="164" spans="1:3" x14ac:dyDescent="0.35">
      <c r="A164"/>
      <c r="B164"/>
      <c r="C164"/>
    </row>
    <row r="165" spans="1:3" x14ac:dyDescent="0.35">
      <c r="A165"/>
      <c r="B165"/>
      <c r="C165"/>
    </row>
    <row r="166" spans="1:3" x14ac:dyDescent="0.35">
      <c r="A166"/>
      <c r="B166"/>
      <c r="C166"/>
    </row>
    <row r="167" spans="1:3" x14ac:dyDescent="0.35">
      <c r="A167"/>
      <c r="B167"/>
      <c r="C167"/>
    </row>
    <row r="168" spans="1:3" x14ac:dyDescent="0.35">
      <c r="A168"/>
      <c r="B168"/>
      <c r="C168"/>
    </row>
    <row r="169" spans="1:3" x14ac:dyDescent="0.35">
      <c r="A169"/>
      <c r="B169"/>
      <c r="C169"/>
    </row>
    <row r="170" spans="1:3" x14ac:dyDescent="0.35">
      <c r="A170"/>
      <c r="B170"/>
      <c r="C170"/>
    </row>
    <row r="171" spans="1:3" x14ac:dyDescent="0.35">
      <c r="A171"/>
      <c r="B171"/>
      <c r="C171"/>
    </row>
    <row r="172" spans="1:3" x14ac:dyDescent="0.35">
      <c r="A172"/>
      <c r="B172"/>
      <c r="C172"/>
    </row>
    <row r="173" spans="1:3" x14ac:dyDescent="0.35">
      <c r="A173"/>
      <c r="B173"/>
      <c r="C173"/>
    </row>
    <row r="174" spans="1:3" x14ac:dyDescent="0.35">
      <c r="A174"/>
      <c r="B174"/>
      <c r="C174"/>
    </row>
    <row r="175" spans="1:3" x14ac:dyDescent="0.35">
      <c r="A175"/>
      <c r="B175"/>
      <c r="C175"/>
    </row>
    <row r="176" spans="1:3" x14ac:dyDescent="0.35">
      <c r="A176"/>
      <c r="B176"/>
      <c r="C176"/>
    </row>
    <row r="177" spans="1:3" x14ac:dyDescent="0.35">
      <c r="A177"/>
      <c r="B177"/>
      <c r="C177"/>
    </row>
    <row r="178" spans="1:3" x14ac:dyDescent="0.35">
      <c r="A178"/>
      <c r="B178"/>
      <c r="C178"/>
    </row>
    <row r="179" spans="1:3" x14ac:dyDescent="0.35">
      <c r="A179"/>
      <c r="B179"/>
      <c r="C179"/>
    </row>
    <row r="180" spans="1:3" x14ac:dyDescent="0.35">
      <c r="A180"/>
      <c r="B180"/>
      <c r="C180"/>
    </row>
    <row r="181" spans="1:3" x14ac:dyDescent="0.35">
      <c r="A181"/>
      <c r="B181"/>
      <c r="C181"/>
    </row>
    <row r="182" spans="1:3" x14ac:dyDescent="0.35">
      <c r="A182"/>
      <c r="B182"/>
      <c r="C182"/>
    </row>
    <row r="183" spans="1:3" x14ac:dyDescent="0.35">
      <c r="A183"/>
      <c r="B183"/>
      <c r="C183"/>
    </row>
    <row r="184" spans="1:3" x14ac:dyDescent="0.35">
      <c r="A184"/>
      <c r="B184"/>
      <c r="C184"/>
    </row>
    <row r="185" spans="1:3" x14ac:dyDescent="0.35">
      <c r="A185"/>
      <c r="B185"/>
      <c r="C185"/>
    </row>
    <row r="186" spans="1:3" x14ac:dyDescent="0.35">
      <c r="A186"/>
      <c r="B186"/>
      <c r="C186"/>
    </row>
    <row r="187" spans="1:3" x14ac:dyDescent="0.35">
      <c r="A187"/>
      <c r="B187"/>
      <c r="C187"/>
    </row>
    <row r="188" spans="1:3" x14ac:dyDescent="0.35">
      <c r="A188"/>
      <c r="B188"/>
      <c r="C188"/>
    </row>
    <row r="189" spans="1:3" x14ac:dyDescent="0.35">
      <c r="A189"/>
      <c r="B189"/>
      <c r="C189"/>
    </row>
    <row r="190" spans="1:3" x14ac:dyDescent="0.35">
      <c r="A190"/>
      <c r="B190"/>
      <c r="C190"/>
    </row>
    <row r="191" spans="1:3" x14ac:dyDescent="0.35">
      <c r="A191"/>
      <c r="B191"/>
      <c r="C191"/>
    </row>
    <row r="192" spans="1:3" x14ac:dyDescent="0.35">
      <c r="A192"/>
      <c r="B192"/>
      <c r="C192"/>
    </row>
    <row r="193" spans="1:3" x14ac:dyDescent="0.35">
      <c r="A193"/>
      <c r="B193"/>
      <c r="C193"/>
    </row>
    <row r="194" spans="1:3" x14ac:dyDescent="0.35">
      <c r="A194"/>
      <c r="B194"/>
      <c r="C194"/>
    </row>
    <row r="195" spans="1:3" x14ac:dyDescent="0.35">
      <c r="A195"/>
      <c r="B195"/>
      <c r="C195"/>
    </row>
    <row r="196" spans="1:3" x14ac:dyDescent="0.35">
      <c r="A196"/>
      <c r="B196"/>
      <c r="C196"/>
    </row>
    <row r="197" spans="1:3" x14ac:dyDescent="0.35">
      <c r="A197"/>
      <c r="B197"/>
      <c r="C197"/>
    </row>
    <row r="198" spans="1:3" x14ac:dyDescent="0.35">
      <c r="A198"/>
      <c r="B198"/>
      <c r="C198"/>
    </row>
    <row r="199" spans="1:3" x14ac:dyDescent="0.35">
      <c r="A199"/>
      <c r="B199"/>
      <c r="C199"/>
    </row>
    <row r="200" spans="1:3" x14ac:dyDescent="0.35">
      <c r="A200"/>
      <c r="B200"/>
      <c r="C200"/>
    </row>
    <row r="201" spans="1:3" x14ac:dyDescent="0.35">
      <c r="A201"/>
      <c r="B201"/>
      <c r="C201"/>
    </row>
    <row r="202" spans="1:3" x14ac:dyDescent="0.35">
      <c r="A202"/>
      <c r="B202"/>
      <c r="C202"/>
    </row>
    <row r="203" spans="1:3" x14ac:dyDescent="0.35">
      <c r="A203"/>
      <c r="B203"/>
      <c r="C203"/>
    </row>
    <row r="204" spans="1:3" x14ac:dyDescent="0.35">
      <c r="A204"/>
      <c r="B204"/>
      <c r="C204"/>
    </row>
    <row r="205" spans="1:3" x14ac:dyDescent="0.35">
      <c r="A205"/>
      <c r="B205"/>
      <c r="C205"/>
    </row>
    <row r="206" spans="1:3" x14ac:dyDescent="0.35">
      <c r="A206"/>
      <c r="B206"/>
      <c r="C206"/>
    </row>
    <row r="207" spans="1:3" x14ac:dyDescent="0.35">
      <c r="A207"/>
      <c r="B207"/>
      <c r="C207"/>
    </row>
    <row r="208" spans="1:3" x14ac:dyDescent="0.35">
      <c r="A208"/>
      <c r="B208"/>
      <c r="C208"/>
    </row>
    <row r="209" spans="1:3" x14ac:dyDescent="0.35">
      <c r="A209"/>
      <c r="B209"/>
      <c r="C209"/>
    </row>
    <row r="210" spans="1:3" x14ac:dyDescent="0.35">
      <c r="A210"/>
      <c r="B210"/>
      <c r="C210"/>
    </row>
    <row r="211" spans="1:3" x14ac:dyDescent="0.35">
      <c r="A211"/>
      <c r="B211"/>
      <c r="C211"/>
    </row>
    <row r="212" spans="1:3" x14ac:dyDescent="0.35">
      <c r="A212"/>
      <c r="B212"/>
      <c r="C212"/>
    </row>
    <row r="213" spans="1:3" x14ac:dyDescent="0.35">
      <c r="A213"/>
      <c r="B213"/>
      <c r="C213"/>
    </row>
    <row r="214" spans="1:3" x14ac:dyDescent="0.35">
      <c r="A214"/>
      <c r="B214"/>
      <c r="C214"/>
    </row>
    <row r="215" spans="1:3" x14ac:dyDescent="0.35">
      <c r="A215"/>
      <c r="B215"/>
      <c r="C215"/>
    </row>
    <row r="216" spans="1:3" x14ac:dyDescent="0.35">
      <c r="A216"/>
      <c r="B216"/>
      <c r="C216"/>
    </row>
    <row r="217" spans="1:3" x14ac:dyDescent="0.35">
      <c r="A217"/>
      <c r="B217"/>
      <c r="C217"/>
    </row>
    <row r="218" spans="1:3" x14ac:dyDescent="0.35">
      <c r="A218"/>
      <c r="B218"/>
      <c r="C218"/>
    </row>
    <row r="219" spans="1:3" x14ac:dyDescent="0.35">
      <c r="A219"/>
      <c r="B219"/>
      <c r="C219"/>
    </row>
    <row r="220" spans="1:3" x14ac:dyDescent="0.35">
      <c r="A220"/>
      <c r="B220"/>
      <c r="C220"/>
    </row>
    <row r="221" spans="1:3" x14ac:dyDescent="0.35">
      <c r="A221"/>
      <c r="B221"/>
      <c r="C221"/>
    </row>
    <row r="222" spans="1:3" x14ac:dyDescent="0.35">
      <c r="A222"/>
      <c r="B222"/>
      <c r="C222"/>
    </row>
    <row r="223" spans="1:3" x14ac:dyDescent="0.35">
      <c r="A223"/>
      <c r="B223"/>
      <c r="C223"/>
    </row>
    <row r="224" spans="1:3" x14ac:dyDescent="0.35">
      <c r="A224"/>
      <c r="B224"/>
      <c r="C224"/>
    </row>
    <row r="225" spans="1:3" x14ac:dyDescent="0.35">
      <c r="A225"/>
      <c r="B225"/>
      <c r="C225"/>
    </row>
    <row r="226" spans="1:3" x14ac:dyDescent="0.35">
      <c r="A226"/>
      <c r="B226"/>
      <c r="C226"/>
    </row>
    <row r="227" spans="1:3" x14ac:dyDescent="0.35">
      <c r="A227"/>
      <c r="B227"/>
      <c r="C227"/>
    </row>
    <row r="228" spans="1:3" x14ac:dyDescent="0.35">
      <c r="A228"/>
      <c r="B228"/>
      <c r="C228"/>
    </row>
    <row r="229" spans="1:3" x14ac:dyDescent="0.35">
      <c r="A229"/>
      <c r="B229"/>
      <c r="C229"/>
    </row>
    <row r="230" spans="1:3" x14ac:dyDescent="0.35">
      <c r="A230"/>
      <c r="B230"/>
      <c r="C230"/>
    </row>
    <row r="231" spans="1:3" x14ac:dyDescent="0.35">
      <c r="A231"/>
      <c r="B231"/>
      <c r="C231"/>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c r="C245"/>
    </row>
    <row r="246" spans="1:3" x14ac:dyDescent="0.35">
      <c r="A246"/>
      <c r="B246"/>
      <c r="C246"/>
    </row>
    <row r="247" spans="1:3" x14ac:dyDescent="0.35">
      <c r="A247"/>
      <c r="B247"/>
      <c r="C247"/>
    </row>
    <row r="248" spans="1:3" x14ac:dyDescent="0.35">
      <c r="A248"/>
      <c r="B248"/>
      <c r="C248"/>
    </row>
    <row r="249" spans="1:3" x14ac:dyDescent="0.35">
      <c r="A249"/>
      <c r="B249"/>
      <c r="C249"/>
    </row>
    <row r="250" spans="1:3" x14ac:dyDescent="0.35">
      <c r="A250"/>
      <c r="B250"/>
      <c r="C250"/>
    </row>
    <row r="251" spans="1:3" x14ac:dyDescent="0.35">
      <c r="A251"/>
      <c r="B251"/>
      <c r="C251"/>
    </row>
    <row r="252" spans="1:3" x14ac:dyDescent="0.35">
      <c r="A252"/>
      <c r="B252"/>
      <c r="C252"/>
    </row>
    <row r="253" spans="1:3" x14ac:dyDescent="0.35">
      <c r="A253"/>
      <c r="B253"/>
      <c r="C253"/>
    </row>
    <row r="254" spans="1:3" x14ac:dyDescent="0.35">
      <c r="A254"/>
      <c r="B254"/>
      <c r="C254"/>
    </row>
    <row r="255" spans="1:3" x14ac:dyDescent="0.35">
      <c r="A255"/>
      <c r="B255"/>
      <c r="C255"/>
    </row>
    <row r="256" spans="1:3" x14ac:dyDescent="0.35">
      <c r="A256"/>
      <c r="B256"/>
      <c r="C256"/>
    </row>
    <row r="257" spans="1:3" x14ac:dyDescent="0.35">
      <c r="A257"/>
      <c r="B257"/>
      <c r="C257"/>
    </row>
    <row r="258" spans="1:3" x14ac:dyDescent="0.35">
      <c r="A258"/>
      <c r="B258"/>
      <c r="C258"/>
    </row>
    <row r="259" spans="1:3" x14ac:dyDescent="0.35">
      <c r="A259"/>
      <c r="B259"/>
      <c r="C259"/>
    </row>
    <row r="260" spans="1:3" x14ac:dyDescent="0.35">
      <c r="A260"/>
      <c r="B260"/>
      <c r="C260"/>
    </row>
    <row r="261" spans="1:3" x14ac:dyDescent="0.35">
      <c r="A261"/>
      <c r="B261"/>
      <c r="C261"/>
    </row>
    <row r="262" spans="1:3" x14ac:dyDescent="0.35">
      <c r="A262"/>
      <c r="B262"/>
      <c r="C262"/>
    </row>
    <row r="263" spans="1:3" x14ac:dyDescent="0.35">
      <c r="A263"/>
      <c r="B263"/>
      <c r="C263"/>
    </row>
    <row r="264" spans="1:3" x14ac:dyDescent="0.35">
      <c r="A264"/>
      <c r="B264"/>
      <c r="C264"/>
    </row>
    <row r="265" spans="1:3" x14ac:dyDescent="0.35">
      <c r="A265"/>
      <c r="B265"/>
      <c r="C265"/>
    </row>
    <row r="266" spans="1:3" x14ac:dyDescent="0.35">
      <c r="A266"/>
      <c r="B266"/>
      <c r="C266"/>
    </row>
    <row r="267" spans="1:3" x14ac:dyDescent="0.35">
      <c r="A267"/>
      <c r="B267"/>
      <c r="C267"/>
    </row>
    <row r="268" spans="1:3" x14ac:dyDescent="0.35">
      <c r="A268"/>
      <c r="B268"/>
      <c r="C268"/>
    </row>
    <row r="269" spans="1:3" x14ac:dyDescent="0.35">
      <c r="A269"/>
      <c r="B269"/>
      <c r="C269"/>
    </row>
    <row r="270" spans="1:3" x14ac:dyDescent="0.35">
      <c r="A270"/>
      <c r="B270"/>
      <c r="C270"/>
    </row>
    <row r="271" spans="1:3" x14ac:dyDescent="0.35">
      <c r="A271"/>
      <c r="B271"/>
      <c r="C271"/>
    </row>
    <row r="272" spans="1:3" x14ac:dyDescent="0.35">
      <c r="A272"/>
      <c r="B272"/>
      <c r="C272"/>
    </row>
    <row r="273" spans="1:3" x14ac:dyDescent="0.35">
      <c r="A273"/>
      <c r="B273"/>
      <c r="C273"/>
    </row>
    <row r="274" spans="1:3" x14ac:dyDescent="0.35">
      <c r="A274"/>
      <c r="B274"/>
      <c r="C274"/>
    </row>
    <row r="275" spans="1:3" x14ac:dyDescent="0.35">
      <c r="A275"/>
      <c r="B275"/>
      <c r="C275"/>
    </row>
    <row r="276" spans="1:3" x14ac:dyDescent="0.35">
      <c r="A276"/>
      <c r="B276"/>
      <c r="C276"/>
    </row>
    <row r="277" spans="1:3" x14ac:dyDescent="0.35">
      <c r="A277"/>
      <c r="B277"/>
      <c r="C277"/>
    </row>
    <row r="278" spans="1:3" x14ac:dyDescent="0.35">
      <c r="A278"/>
      <c r="B278"/>
      <c r="C278"/>
    </row>
    <row r="279" spans="1:3" x14ac:dyDescent="0.35">
      <c r="A279"/>
      <c r="B279"/>
      <c r="C279"/>
    </row>
    <row r="280" spans="1:3" x14ac:dyDescent="0.35">
      <c r="A280"/>
      <c r="B280"/>
      <c r="C280"/>
    </row>
    <row r="281" spans="1:3" x14ac:dyDescent="0.35">
      <c r="A281"/>
      <c r="B281"/>
      <c r="C281"/>
    </row>
    <row r="282" spans="1:3" x14ac:dyDescent="0.35">
      <c r="A282"/>
      <c r="B282"/>
      <c r="C282"/>
    </row>
    <row r="283" spans="1:3" x14ac:dyDescent="0.35">
      <c r="A283"/>
      <c r="B283"/>
      <c r="C283"/>
    </row>
    <row r="284" spans="1:3" x14ac:dyDescent="0.35">
      <c r="A284"/>
      <c r="B284"/>
      <c r="C284"/>
    </row>
    <row r="285" spans="1:3" x14ac:dyDescent="0.35">
      <c r="A285"/>
      <c r="B285"/>
      <c r="C285"/>
    </row>
    <row r="286" spans="1:3" x14ac:dyDescent="0.35">
      <c r="A286"/>
      <c r="B286"/>
      <c r="C286"/>
    </row>
    <row r="287" spans="1:3" x14ac:dyDescent="0.35">
      <c r="A287"/>
      <c r="B287"/>
      <c r="C287"/>
    </row>
    <row r="288" spans="1:3" x14ac:dyDescent="0.35">
      <c r="A288"/>
      <c r="B288"/>
      <c r="C288"/>
    </row>
    <row r="289" spans="1:3" x14ac:dyDescent="0.35">
      <c r="A289"/>
      <c r="B289"/>
      <c r="C289"/>
    </row>
    <row r="290" spans="1:3" x14ac:dyDescent="0.35">
      <c r="A290"/>
      <c r="B290"/>
      <c r="C290"/>
    </row>
    <row r="291" spans="1:3" x14ac:dyDescent="0.35">
      <c r="A291"/>
      <c r="B291"/>
      <c r="C291"/>
    </row>
    <row r="292" spans="1:3" x14ac:dyDescent="0.35">
      <c r="A292"/>
      <c r="B292"/>
      <c r="C292"/>
    </row>
    <row r="293" spans="1:3" x14ac:dyDescent="0.35">
      <c r="A293"/>
      <c r="B293"/>
      <c r="C293"/>
    </row>
    <row r="294" spans="1:3" x14ac:dyDescent="0.35">
      <c r="A294"/>
      <c r="B294"/>
      <c r="C294"/>
    </row>
    <row r="295" spans="1:3" x14ac:dyDescent="0.35">
      <c r="A295"/>
      <c r="B295"/>
      <c r="C295"/>
    </row>
    <row r="296" spans="1:3" x14ac:dyDescent="0.35">
      <c r="A296"/>
      <c r="B296"/>
      <c r="C296"/>
    </row>
    <row r="297" spans="1:3" x14ac:dyDescent="0.35">
      <c r="A297"/>
      <c r="B297"/>
      <c r="C297"/>
    </row>
    <row r="298" spans="1:3" x14ac:dyDescent="0.35">
      <c r="A298"/>
      <c r="B298"/>
      <c r="C298"/>
    </row>
    <row r="299" spans="1:3" x14ac:dyDescent="0.35">
      <c r="A299"/>
      <c r="B299"/>
      <c r="C299"/>
    </row>
    <row r="300" spans="1:3" x14ac:dyDescent="0.35">
      <c r="A300"/>
      <c r="B300"/>
      <c r="C300"/>
    </row>
    <row r="301" spans="1:3" x14ac:dyDescent="0.35">
      <c r="A301"/>
      <c r="B301"/>
      <c r="C301"/>
    </row>
    <row r="302" spans="1:3" x14ac:dyDescent="0.35">
      <c r="A302"/>
      <c r="B302"/>
      <c r="C302"/>
    </row>
    <row r="303" spans="1:3" x14ac:dyDescent="0.35">
      <c r="A303"/>
      <c r="B303"/>
      <c r="C303"/>
    </row>
    <row r="304" spans="1:3" x14ac:dyDescent="0.35">
      <c r="A304"/>
      <c r="B304"/>
      <c r="C304"/>
    </row>
    <row r="305" spans="1:3" x14ac:dyDescent="0.35">
      <c r="A305"/>
      <c r="B305"/>
      <c r="C305"/>
    </row>
    <row r="306" spans="1:3" x14ac:dyDescent="0.35">
      <c r="A306"/>
      <c r="B306"/>
      <c r="C306"/>
    </row>
    <row r="307" spans="1:3" x14ac:dyDescent="0.35">
      <c r="A307"/>
      <c r="B307"/>
      <c r="C307"/>
    </row>
    <row r="308" spans="1:3" x14ac:dyDescent="0.35">
      <c r="A308"/>
      <c r="B308"/>
      <c r="C308"/>
    </row>
    <row r="309" spans="1:3" x14ac:dyDescent="0.35">
      <c r="A309"/>
      <c r="B309"/>
      <c r="C309"/>
    </row>
    <row r="310" spans="1:3" x14ac:dyDescent="0.35">
      <c r="A310"/>
      <c r="B310"/>
      <c r="C310"/>
    </row>
    <row r="311" spans="1:3" x14ac:dyDescent="0.35">
      <c r="A311"/>
      <c r="B311"/>
      <c r="C311"/>
    </row>
    <row r="312" spans="1:3" x14ac:dyDescent="0.35">
      <c r="A312"/>
      <c r="B312"/>
      <c r="C312"/>
    </row>
    <row r="313" spans="1:3" x14ac:dyDescent="0.35">
      <c r="A313"/>
      <c r="B313"/>
      <c r="C313"/>
    </row>
    <row r="314" spans="1:3" x14ac:dyDescent="0.35">
      <c r="A314"/>
      <c r="B314"/>
      <c r="C314"/>
    </row>
    <row r="315" spans="1:3" x14ac:dyDescent="0.35">
      <c r="A315"/>
      <c r="B315"/>
      <c r="C315"/>
    </row>
    <row r="316" spans="1:3" x14ac:dyDescent="0.35">
      <c r="A316"/>
      <c r="B316"/>
      <c r="C316"/>
    </row>
    <row r="317" spans="1:3" x14ac:dyDescent="0.35">
      <c r="A317"/>
      <c r="B317"/>
      <c r="C317"/>
    </row>
    <row r="318" spans="1:3" x14ac:dyDescent="0.35">
      <c r="A318"/>
      <c r="B318"/>
      <c r="C318"/>
    </row>
    <row r="319" spans="1:3" x14ac:dyDescent="0.35">
      <c r="A319"/>
      <c r="B319"/>
      <c r="C319"/>
    </row>
    <row r="320" spans="1:3" x14ac:dyDescent="0.35">
      <c r="A320"/>
      <c r="B320"/>
      <c r="C320"/>
    </row>
    <row r="321" spans="1:3" x14ac:dyDescent="0.35">
      <c r="A321"/>
      <c r="B321"/>
      <c r="C321"/>
    </row>
    <row r="322" spans="1:3" x14ac:dyDescent="0.35">
      <c r="A322"/>
      <c r="B322"/>
      <c r="C322"/>
    </row>
    <row r="323" spans="1:3" x14ac:dyDescent="0.35">
      <c r="A323"/>
      <c r="B323"/>
      <c r="C323"/>
    </row>
    <row r="324" spans="1:3" x14ac:dyDescent="0.35">
      <c r="A324"/>
      <c r="B324"/>
      <c r="C324"/>
    </row>
    <row r="325" spans="1:3" x14ac:dyDescent="0.35">
      <c r="A325"/>
      <c r="B325"/>
      <c r="C325"/>
    </row>
    <row r="326" spans="1:3" x14ac:dyDescent="0.35">
      <c r="A326"/>
      <c r="B326"/>
      <c r="C326"/>
    </row>
    <row r="327" spans="1:3" x14ac:dyDescent="0.35">
      <c r="A327"/>
      <c r="B327"/>
      <c r="C327"/>
    </row>
    <row r="328" spans="1:3" x14ac:dyDescent="0.35">
      <c r="A328"/>
      <c r="B328"/>
      <c r="C328"/>
    </row>
    <row r="329" spans="1:3" x14ac:dyDescent="0.35">
      <c r="A329"/>
      <c r="B329"/>
      <c r="C329"/>
    </row>
    <row r="330" spans="1:3" x14ac:dyDescent="0.35">
      <c r="A330"/>
      <c r="B330"/>
      <c r="C330"/>
    </row>
    <row r="331" spans="1:3" x14ac:dyDescent="0.35">
      <c r="A331"/>
      <c r="B331"/>
      <c r="C331"/>
    </row>
    <row r="332" spans="1:3" x14ac:dyDescent="0.35">
      <c r="A332"/>
      <c r="B332"/>
      <c r="C332"/>
    </row>
    <row r="333" spans="1:3" x14ac:dyDescent="0.35">
      <c r="A333"/>
      <c r="B333"/>
      <c r="C333"/>
    </row>
    <row r="334" spans="1:3" x14ac:dyDescent="0.35">
      <c r="A334"/>
      <c r="B334"/>
      <c r="C334"/>
    </row>
    <row r="335" spans="1:3" x14ac:dyDescent="0.35">
      <c r="A335"/>
      <c r="B335"/>
      <c r="C335"/>
    </row>
    <row r="336" spans="1:3" x14ac:dyDescent="0.35">
      <c r="A336"/>
      <c r="B336"/>
      <c r="C336"/>
    </row>
    <row r="337" spans="1:3" x14ac:dyDescent="0.35">
      <c r="A337"/>
      <c r="B337"/>
      <c r="C337"/>
    </row>
    <row r="338" spans="1:3" x14ac:dyDescent="0.35">
      <c r="A338"/>
      <c r="B338"/>
      <c r="C338"/>
    </row>
    <row r="339" spans="1:3" x14ac:dyDescent="0.35">
      <c r="A339"/>
      <c r="B339"/>
      <c r="C339"/>
    </row>
    <row r="340" spans="1:3" x14ac:dyDescent="0.35">
      <c r="A340"/>
      <c r="B340"/>
      <c r="C340"/>
    </row>
    <row r="341" spans="1:3" x14ac:dyDescent="0.35">
      <c r="A341"/>
      <c r="B341"/>
      <c r="C341"/>
    </row>
    <row r="342" spans="1:3" x14ac:dyDescent="0.35">
      <c r="A342"/>
      <c r="B342"/>
      <c r="C342"/>
    </row>
    <row r="343" spans="1:3" x14ac:dyDescent="0.35">
      <c r="A343"/>
      <c r="B343"/>
      <c r="C343"/>
    </row>
    <row r="344" spans="1:3" x14ac:dyDescent="0.35">
      <c r="A344"/>
      <c r="B344"/>
      <c r="C344"/>
    </row>
    <row r="345" spans="1:3" x14ac:dyDescent="0.35">
      <c r="A345"/>
      <c r="B345"/>
      <c r="C345"/>
    </row>
    <row r="346" spans="1:3" x14ac:dyDescent="0.35">
      <c r="A346"/>
      <c r="B346"/>
      <c r="C346"/>
    </row>
    <row r="347" spans="1:3" x14ac:dyDescent="0.35">
      <c r="A347"/>
      <c r="B347"/>
      <c r="C347"/>
    </row>
    <row r="348" spans="1:3" x14ac:dyDescent="0.35">
      <c r="A348"/>
      <c r="B348"/>
      <c r="C348"/>
    </row>
    <row r="349" spans="1:3" x14ac:dyDescent="0.35">
      <c r="A349"/>
      <c r="B349"/>
      <c r="C349"/>
    </row>
    <row r="350" spans="1:3" x14ac:dyDescent="0.35">
      <c r="A350"/>
      <c r="B350"/>
      <c r="C350"/>
    </row>
    <row r="351" spans="1:3" x14ac:dyDescent="0.35">
      <c r="A351"/>
      <c r="B351"/>
      <c r="C351"/>
    </row>
    <row r="352" spans="1:3" x14ac:dyDescent="0.35">
      <c r="A352"/>
      <c r="B352"/>
      <c r="C352"/>
    </row>
    <row r="353" spans="1:3" x14ac:dyDescent="0.35">
      <c r="A353"/>
      <c r="B353"/>
      <c r="C353"/>
    </row>
    <row r="354" spans="1:3" x14ac:dyDescent="0.35">
      <c r="A354"/>
      <c r="B354"/>
      <c r="C354"/>
    </row>
    <row r="355" spans="1:3" x14ac:dyDescent="0.35">
      <c r="A355"/>
      <c r="B355"/>
      <c r="C355"/>
    </row>
    <row r="356" spans="1:3" x14ac:dyDescent="0.35">
      <c r="A356"/>
      <c r="B356"/>
      <c r="C356"/>
    </row>
    <row r="357" spans="1:3" x14ac:dyDescent="0.35">
      <c r="A357"/>
      <c r="B357"/>
      <c r="C357"/>
    </row>
    <row r="358" spans="1:3" x14ac:dyDescent="0.35">
      <c r="A358"/>
      <c r="B358"/>
      <c r="C358"/>
    </row>
    <row r="359" spans="1:3" x14ac:dyDescent="0.35">
      <c r="A359"/>
      <c r="B359"/>
      <c r="C359"/>
    </row>
    <row r="360" spans="1:3" x14ac:dyDescent="0.35">
      <c r="A360"/>
      <c r="B360"/>
      <c r="C360"/>
    </row>
    <row r="361" spans="1:3" x14ac:dyDescent="0.35">
      <c r="A361"/>
      <c r="B361"/>
      <c r="C361"/>
    </row>
    <row r="362" spans="1:3" x14ac:dyDescent="0.35">
      <c r="A362"/>
      <c r="B362"/>
      <c r="C362"/>
    </row>
    <row r="363" spans="1:3" x14ac:dyDescent="0.35">
      <c r="A363"/>
      <c r="B363"/>
      <c r="C363"/>
    </row>
    <row r="364" spans="1:3" x14ac:dyDescent="0.35">
      <c r="A364"/>
      <c r="B364"/>
      <c r="C364"/>
    </row>
    <row r="365" spans="1:3" x14ac:dyDescent="0.35">
      <c r="A365"/>
      <c r="B365"/>
      <c r="C365"/>
    </row>
    <row r="366" spans="1:3" x14ac:dyDescent="0.35">
      <c r="A366"/>
      <c r="B366"/>
      <c r="C366"/>
    </row>
    <row r="367" spans="1:3" x14ac:dyDescent="0.35">
      <c r="A367"/>
      <c r="B367"/>
      <c r="C367"/>
    </row>
    <row r="368" spans="1:3" x14ac:dyDescent="0.35">
      <c r="A368"/>
      <c r="B368"/>
      <c r="C368"/>
    </row>
    <row r="369" spans="1:3" x14ac:dyDescent="0.35">
      <c r="A369"/>
      <c r="B369"/>
      <c r="C369"/>
    </row>
    <row r="370" spans="1:3" x14ac:dyDescent="0.35">
      <c r="A370"/>
      <c r="B370"/>
      <c r="C370"/>
    </row>
    <row r="371" spans="1:3" x14ac:dyDescent="0.35">
      <c r="A371"/>
      <c r="B371"/>
      <c r="C371"/>
    </row>
    <row r="372" spans="1:3" x14ac:dyDescent="0.35">
      <c r="A372"/>
      <c r="B372"/>
      <c r="C372"/>
    </row>
    <row r="373" spans="1:3" x14ac:dyDescent="0.35">
      <c r="A373"/>
      <c r="B373"/>
      <c r="C373"/>
    </row>
    <row r="374" spans="1:3" x14ac:dyDescent="0.35">
      <c r="A374"/>
      <c r="B374"/>
      <c r="C374"/>
    </row>
    <row r="375" spans="1:3" x14ac:dyDescent="0.35">
      <c r="A375"/>
      <c r="B375"/>
      <c r="C375"/>
    </row>
    <row r="376" spans="1:3" x14ac:dyDescent="0.35">
      <c r="A376"/>
      <c r="B376"/>
      <c r="C376"/>
    </row>
    <row r="377" spans="1:3" x14ac:dyDescent="0.35">
      <c r="A377"/>
      <c r="B377"/>
      <c r="C377"/>
    </row>
    <row r="378" spans="1:3" x14ac:dyDescent="0.35">
      <c r="A378"/>
      <c r="B378"/>
      <c r="C378"/>
    </row>
    <row r="379" spans="1:3" x14ac:dyDescent="0.35">
      <c r="A379"/>
      <c r="B379"/>
      <c r="C379"/>
    </row>
    <row r="380" spans="1:3" x14ac:dyDescent="0.35">
      <c r="A380"/>
      <c r="B380"/>
      <c r="C380"/>
    </row>
    <row r="381" spans="1:3" x14ac:dyDescent="0.35">
      <c r="A381"/>
      <c r="B381"/>
      <c r="C381"/>
    </row>
    <row r="382" spans="1:3" x14ac:dyDescent="0.35">
      <c r="A382"/>
      <c r="B382"/>
      <c r="C382"/>
    </row>
    <row r="383" spans="1:3" x14ac:dyDescent="0.35">
      <c r="A383"/>
      <c r="B383"/>
      <c r="C383"/>
    </row>
    <row r="384" spans="1:3" x14ac:dyDescent="0.35">
      <c r="A384"/>
      <c r="B384"/>
      <c r="C384"/>
    </row>
    <row r="385" spans="1:3" x14ac:dyDescent="0.35">
      <c r="A385"/>
      <c r="B385"/>
      <c r="C385"/>
    </row>
    <row r="386" spans="1:3" x14ac:dyDescent="0.35">
      <c r="A386"/>
      <c r="B386"/>
      <c r="C386"/>
    </row>
    <row r="387" spans="1:3" x14ac:dyDescent="0.35">
      <c r="A387"/>
      <c r="B387"/>
      <c r="C387"/>
    </row>
    <row r="388" spans="1:3" x14ac:dyDescent="0.35">
      <c r="A388"/>
      <c r="B388"/>
      <c r="C388"/>
    </row>
    <row r="389" spans="1:3" x14ac:dyDescent="0.35">
      <c r="A389"/>
      <c r="B389"/>
      <c r="C389"/>
    </row>
    <row r="390" spans="1:3" x14ac:dyDescent="0.35">
      <c r="A390"/>
      <c r="B390"/>
      <c r="C390"/>
    </row>
    <row r="391" spans="1:3" x14ac:dyDescent="0.35">
      <c r="A391"/>
      <c r="B391"/>
      <c r="C391"/>
    </row>
    <row r="392" spans="1:3" x14ac:dyDescent="0.35">
      <c r="A392"/>
      <c r="B392"/>
      <c r="C392"/>
    </row>
    <row r="393" spans="1:3" x14ac:dyDescent="0.35">
      <c r="A393"/>
      <c r="B393"/>
      <c r="C393"/>
    </row>
    <row r="394" spans="1:3" x14ac:dyDescent="0.35">
      <c r="A394"/>
      <c r="B394"/>
      <c r="C394"/>
    </row>
    <row r="395" spans="1:3" x14ac:dyDescent="0.35">
      <c r="A395"/>
      <c r="B395"/>
      <c r="C395"/>
    </row>
    <row r="396" spans="1:3" x14ac:dyDescent="0.35">
      <c r="A396"/>
      <c r="B396"/>
      <c r="C396"/>
    </row>
    <row r="397" spans="1:3" x14ac:dyDescent="0.35">
      <c r="A397"/>
      <c r="B397"/>
      <c r="C397"/>
    </row>
    <row r="398" spans="1:3" x14ac:dyDescent="0.35">
      <c r="A398"/>
      <c r="B398"/>
      <c r="C398"/>
    </row>
    <row r="399" spans="1:3" x14ac:dyDescent="0.35">
      <c r="A399"/>
      <c r="B399"/>
      <c r="C399"/>
    </row>
    <row r="400" spans="1:3" x14ac:dyDescent="0.35">
      <c r="A400"/>
      <c r="B400"/>
      <c r="C400"/>
    </row>
    <row r="401" spans="1:3" x14ac:dyDescent="0.35">
      <c r="A401"/>
      <c r="B401"/>
      <c r="C401"/>
    </row>
    <row r="402" spans="1:3" x14ac:dyDescent="0.35">
      <c r="A402"/>
      <c r="B402"/>
      <c r="C402"/>
    </row>
    <row r="403" spans="1:3" x14ac:dyDescent="0.35">
      <c r="A403"/>
      <c r="B403"/>
      <c r="C403"/>
    </row>
    <row r="404" spans="1:3" x14ac:dyDescent="0.35">
      <c r="A404"/>
      <c r="B404"/>
      <c r="C404"/>
    </row>
    <row r="405" spans="1:3" x14ac:dyDescent="0.35">
      <c r="A405"/>
      <c r="B405"/>
      <c r="C405"/>
    </row>
    <row r="406" spans="1:3" x14ac:dyDescent="0.35">
      <c r="A406"/>
      <c r="B406"/>
      <c r="C406"/>
    </row>
    <row r="407" spans="1:3" x14ac:dyDescent="0.35">
      <c r="A407"/>
      <c r="B407"/>
      <c r="C407"/>
    </row>
    <row r="408" spans="1:3" x14ac:dyDescent="0.35">
      <c r="A408"/>
      <c r="B408"/>
      <c r="C408"/>
    </row>
    <row r="409" spans="1:3" x14ac:dyDescent="0.35">
      <c r="A409"/>
      <c r="B409"/>
      <c r="C409"/>
    </row>
    <row r="410" spans="1:3" x14ac:dyDescent="0.35">
      <c r="A410"/>
      <c r="B410"/>
      <c r="C410"/>
    </row>
    <row r="411" spans="1:3" x14ac:dyDescent="0.35">
      <c r="A411"/>
      <c r="B411"/>
      <c r="C411"/>
    </row>
    <row r="412" spans="1:3" x14ac:dyDescent="0.35">
      <c r="A412"/>
      <c r="B412"/>
      <c r="C412"/>
    </row>
    <row r="413" spans="1:3" x14ac:dyDescent="0.35">
      <c r="A413"/>
      <c r="B413"/>
      <c r="C413"/>
    </row>
    <row r="414" spans="1:3" x14ac:dyDescent="0.35">
      <c r="A414"/>
      <c r="B414"/>
      <c r="C414"/>
    </row>
    <row r="415" spans="1:3" x14ac:dyDescent="0.35">
      <c r="A415"/>
      <c r="B415"/>
      <c r="C415"/>
    </row>
    <row r="416" spans="1:3" x14ac:dyDescent="0.35">
      <c r="A416"/>
      <c r="B416"/>
      <c r="C416"/>
    </row>
    <row r="417" spans="1:3" x14ac:dyDescent="0.35">
      <c r="A417"/>
      <c r="B417"/>
      <c r="C417"/>
    </row>
    <row r="418" spans="1:3" x14ac:dyDescent="0.35">
      <c r="A418"/>
      <c r="B418"/>
      <c r="C418"/>
    </row>
    <row r="419" spans="1:3" x14ac:dyDescent="0.35">
      <c r="A419"/>
      <c r="B419"/>
      <c r="C419"/>
    </row>
    <row r="420" spans="1:3" x14ac:dyDescent="0.35">
      <c r="A420"/>
      <c r="B420"/>
      <c r="C420"/>
    </row>
    <row r="421" spans="1:3" x14ac:dyDescent="0.35">
      <c r="A421"/>
      <c r="B421"/>
      <c r="C421"/>
    </row>
    <row r="422" spans="1:3" x14ac:dyDescent="0.35">
      <c r="A422"/>
      <c r="B422"/>
      <c r="C422"/>
    </row>
    <row r="423" spans="1:3" x14ac:dyDescent="0.35">
      <c r="A423"/>
      <c r="B423"/>
      <c r="C423"/>
    </row>
    <row r="424" spans="1:3" x14ac:dyDescent="0.35">
      <c r="A424"/>
      <c r="B424"/>
      <c r="C424"/>
    </row>
    <row r="425" spans="1:3" x14ac:dyDescent="0.35">
      <c r="A425"/>
      <c r="B425"/>
      <c r="C425"/>
    </row>
    <row r="426" spans="1:3" x14ac:dyDescent="0.35">
      <c r="A426"/>
      <c r="B426"/>
      <c r="C426"/>
    </row>
    <row r="427" spans="1:3" x14ac:dyDescent="0.35">
      <c r="A427"/>
      <c r="B427"/>
      <c r="C427"/>
    </row>
    <row r="428" spans="1:3" x14ac:dyDescent="0.35">
      <c r="A428"/>
      <c r="B428"/>
      <c r="C428"/>
    </row>
    <row r="429" spans="1:3" x14ac:dyDescent="0.35">
      <c r="A429"/>
      <c r="B429"/>
      <c r="C429"/>
    </row>
    <row r="430" spans="1:3" x14ac:dyDescent="0.35">
      <c r="A430"/>
      <c r="B430"/>
      <c r="C430"/>
    </row>
    <row r="431" spans="1:3" x14ac:dyDescent="0.35">
      <c r="A431"/>
      <c r="B431"/>
      <c r="C431"/>
    </row>
    <row r="432" spans="1:3" x14ac:dyDescent="0.35">
      <c r="A432"/>
      <c r="B432"/>
      <c r="C432"/>
    </row>
    <row r="433" spans="1:3" x14ac:dyDescent="0.35">
      <c r="A433"/>
      <c r="B433"/>
      <c r="C433"/>
    </row>
    <row r="434" spans="1:3" x14ac:dyDescent="0.35">
      <c r="A434"/>
      <c r="B434"/>
      <c r="C434"/>
    </row>
    <row r="435" spans="1:3" x14ac:dyDescent="0.35">
      <c r="A435"/>
      <c r="B435"/>
      <c r="C435"/>
    </row>
    <row r="436" spans="1:3" x14ac:dyDescent="0.35">
      <c r="A436"/>
      <c r="B436"/>
      <c r="C436"/>
    </row>
    <row r="437" spans="1:3" x14ac:dyDescent="0.35">
      <c r="A437"/>
      <c r="B437"/>
      <c r="C437"/>
    </row>
    <row r="438" spans="1:3" x14ac:dyDescent="0.35">
      <c r="A438"/>
      <c r="B438"/>
      <c r="C438"/>
    </row>
    <row r="439" spans="1:3" x14ac:dyDescent="0.35">
      <c r="A439"/>
      <c r="B439"/>
      <c r="C439"/>
    </row>
    <row r="440" spans="1:3" x14ac:dyDescent="0.35">
      <c r="A440"/>
      <c r="B440"/>
      <c r="C440"/>
    </row>
    <row r="441" spans="1:3" x14ac:dyDescent="0.35">
      <c r="A441"/>
      <c r="B441"/>
      <c r="C441"/>
    </row>
    <row r="442" spans="1:3" x14ac:dyDescent="0.35">
      <c r="A442"/>
      <c r="B442"/>
      <c r="C442"/>
    </row>
    <row r="443" spans="1:3" x14ac:dyDescent="0.35">
      <c r="A443"/>
      <c r="B443"/>
      <c r="C443"/>
    </row>
    <row r="444" spans="1:3" x14ac:dyDescent="0.35">
      <c r="A444"/>
      <c r="B444"/>
      <c r="C444"/>
    </row>
    <row r="445" spans="1:3" x14ac:dyDescent="0.35">
      <c r="A445"/>
      <c r="B445"/>
      <c r="C445"/>
    </row>
    <row r="446" spans="1:3" x14ac:dyDescent="0.35">
      <c r="A446"/>
      <c r="B446"/>
      <c r="C446"/>
    </row>
    <row r="447" spans="1:3" x14ac:dyDescent="0.35">
      <c r="A447"/>
      <c r="B447"/>
      <c r="C447"/>
    </row>
    <row r="448" spans="1:3" x14ac:dyDescent="0.35">
      <c r="A448"/>
      <c r="B448"/>
      <c r="C448"/>
    </row>
    <row r="449" spans="1:3" x14ac:dyDescent="0.35">
      <c r="A449"/>
      <c r="B449"/>
      <c r="C449"/>
    </row>
    <row r="450" spans="1:3" x14ac:dyDescent="0.35">
      <c r="A450"/>
      <c r="B450"/>
      <c r="C450"/>
    </row>
    <row r="451" spans="1:3" x14ac:dyDescent="0.35">
      <c r="A451"/>
      <c r="B451"/>
      <c r="C451"/>
    </row>
    <row r="452" spans="1:3" x14ac:dyDescent="0.35">
      <c r="A452"/>
      <c r="B452"/>
      <c r="C452"/>
    </row>
    <row r="453" spans="1:3" x14ac:dyDescent="0.35">
      <c r="A453"/>
      <c r="B453"/>
      <c r="C453"/>
    </row>
    <row r="454" spans="1:3" x14ac:dyDescent="0.35">
      <c r="A454"/>
      <c r="B454"/>
      <c r="C454"/>
    </row>
    <row r="455" spans="1:3" x14ac:dyDescent="0.35">
      <c r="A455"/>
      <c r="B455"/>
      <c r="C455"/>
    </row>
    <row r="456" spans="1:3" x14ac:dyDescent="0.35">
      <c r="A456"/>
      <c r="B456"/>
      <c r="C456"/>
    </row>
    <row r="457" spans="1:3" x14ac:dyDescent="0.35">
      <c r="A457"/>
      <c r="B457"/>
      <c r="C457"/>
    </row>
    <row r="458" spans="1:3" x14ac:dyDescent="0.35">
      <c r="A458"/>
      <c r="B458"/>
      <c r="C458"/>
    </row>
    <row r="459" spans="1:3" x14ac:dyDescent="0.35">
      <c r="A459"/>
      <c r="B459"/>
      <c r="C459"/>
    </row>
    <row r="460" spans="1:3" x14ac:dyDescent="0.35">
      <c r="A460"/>
      <c r="B460"/>
      <c r="C460"/>
    </row>
    <row r="461" spans="1:3" x14ac:dyDescent="0.35">
      <c r="A461"/>
      <c r="B461"/>
      <c r="C461"/>
    </row>
    <row r="462" spans="1:3" x14ac:dyDescent="0.35">
      <c r="A462"/>
      <c r="B462"/>
      <c r="C462"/>
    </row>
    <row r="463" spans="1:3" x14ac:dyDescent="0.35">
      <c r="A463"/>
      <c r="B463"/>
      <c r="C463"/>
    </row>
    <row r="464" spans="1:3" x14ac:dyDescent="0.35">
      <c r="A464"/>
      <c r="B464"/>
      <c r="C464"/>
    </row>
    <row r="465" spans="1:3" x14ac:dyDescent="0.35">
      <c r="A465"/>
      <c r="B465"/>
      <c r="C465"/>
    </row>
    <row r="466" spans="1:3" x14ac:dyDescent="0.35">
      <c r="A466"/>
      <c r="B466"/>
      <c r="C466"/>
    </row>
    <row r="467" spans="1:3" x14ac:dyDescent="0.35">
      <c r="A467"/>
      <c r="B467"/>
      <c r="C467"/>
    </row>
    <row r="468" spans="1:3" x14ac:dyDescent="0.35">
      <c r="A468"/>
      <c r="B468"/>
      <c r="C468"/>
    </row>
    <row r="469" spans="1:3" x14ac:dyDescent="0.35">
      <c r="A469"/>
      <c r="B469"/>
      <c r="C469"/>
    </row>
    <row r="470" spans="1:3" x14ac:dyDescent="0.35">
      <c r="A470"/>
      <c r="B470"/>
      <c r="C470"/>
    </row>
    <row r="471" spans="1:3" x14ac:dyDescent="0.35">
      <c r="A471"/>
      <c r="B471"/>
      <c r="C471"/>
    </row>
    <row r="472" spans="1:3" x14ac:dyDescent="0.35">
      <c r="A472"/>
      <c r="B472"/>
      <c r="C472"/>
    </row>
    <row r="473" spans="1:3" x14ac:dyDescent="0.35">
      <c r="A473"/>
      <c r="B473"/>
      <c r="C473"/>
    </row>
    <row r="474" spans="1:3" x14ac:dyDescent="0.35">
      <c r="A474"/>
      <c r="B474"/>
      <c r="C474"/>
    </row>
    <row r="475" spans="1:3" x14ac:dyDescent="0.35">
      <c r="A475"/>
      <c r="B475"/>
      <c r="C475"/>
    </row>
    <row r="476" spans="1:3" x14ac:dyDescent="0.35">
      <c r="A476"/>
      <c r="B476"/>
      <c r="C476"/>
    </row>
    <row r="477" spans="1:3" x14ac:dyDescent="0.35">
      <c r="A477"/>
      <c r="B477"/>
      <c r="C477"/>
    </row>
    <row r="478" spans="1:3" x14ac:dyDescent="0.35">
      <c r="A478"/>
      <c r="B478"/>
      <c r="C478"/>
    </row>
    <row r="479" spans="1:3" x14ac:dyDescent="0.35">
      <c r="A479"/>
      <c r="B479"/>
      <c r="C479"/>
    </row>
    <row r="480" spans="1:3" x14ac:dyDescent="0.35">
      <c r="A480"/>
      <c r="B480"/>
      <c r="C480"/>
    </row>
    <row r="481" spans="1:3" x14ac:dyDescent="0.35">
      <c r="A481"/>
      <c r="B481"/>
      <c r="C481"/>
    </row>
    <row r="482" spans="1:3" x14ac:dyDescent="0.35">
      <c r="A482"/>
      <c r="B482"/>
      <c r="C482"/>
    </row>
    <row r="483" spans="1:3" x14ac:dyDescent="0.35">
      <c r="A483"/>
      <c r="B483"/>
      <c r="C483"/>
    </row>
    <row r="484" spans="1:3" x14ac:dyDescent="0.35">
      <c r="A484"/>
      <c r="B484"/>
      <c r="C484"/>
    </row>
    <row r="485" spans="1:3" x14ac:dyDescent="0.35">
      <c r="A485"/>
      <c r="B485"/>
      <c r="C485"/>
    </row>
    <row r="486" spans="1:3" x14ac:dyDescent="0.35">
      <c r="A486"/>
      <c r="B486"/>
      <c r="C486"/>
    </row>
    <row r="487" spans="1:3" x14ac:dyDescent="0.35">
      <c r="A487"/>
      <c r="B487"/>
      <c r="C487"/>
    </row>
    <row r="488" spans="1:3" x14ac:dyDescent="0.35">
      <c r="A488"/>
      <c r="B488"/>
      <c r="C488"/>
    </row>
    <row r="489" spans="1:3" x14ac:dyDescent="0.35">
      <c r="A489"/>
      <c r="B489"/>
      <c r="C489"/>
    </row>
    <row r="490" spans="1:3" x14ac:dyDescent="0.35">
      <c r="A490"/>
      <c r="B490"/>
      <c r="C490"/>
    </row>
    <row r="491" spans="1:3" x14ac:dyDescent="0.35">
      <c r="A491"/>
      <c r="B491"/>
      <c r="C491"/>
    </row>
    <row r="492" spans="1:3" x14ac:dyDescent="0.35">
      <c r="A492"/>
      <c r="B492"/>
      <c r="C492"/>
    </row>
    <row r="493" spans="1:3" x14ac:dyDescent="0.35">
      <c r="A493"/>
      <c r="B493"/>
      <c r="C493"/>
    </row>
    <row r="494" spans="1:3" x14ac:dyDescent="0.35">
      <c r="A494"/>
      <c r="B494"/>
      <c r="C494"/>
    </row>
    <row r="495" spans="1:3" x14ac:dyDescent="0.35">
      <c r="A495"/>
      <c r="B495"/>
      <c r="C495"/>
    </row>
    <row r="496" spans="1:3" x14ac:dyDescent="0.35">
      <c r="A496"/>
      <c r="B496"/>
      <c r="C496"/>
    </row>
    <row r="497" spans="1:3" x14ac:dyDescent="0.35">
      <c r="A497"/>
      <c r="B497"/>
      <c r="C497"/>
    </row>
    <row r="498" spans="1:3" x14ac:dyDescent="0.35">
      <c r="A498"/>
      <c r="B498"/>
      <c r="C498"/>
    </row>
    <row r="499" spans="1:3" x14ac:dyDescent="0.35">
      <c r="A499"/>
      <c r="B499"/>
      <c r="C499"/>
    </row>
    <row r="500" spans="1:3" x14ac:dyDescent="0.35">
      <c r="A500"/>
      <c r="B500"/>
      <c r="C500"/>
    </row>
    <row r="501" spans="1:3" x14ac:dyDescent="0.35">
      <c r="A501"/>
      <c r="B501"/>
      <c r="C501"/>
    </row>
    <row r="502" spans="1:3" x14ac:dyDescent="0.35">
      <c r="A502"/>
      <c r="B502"/>
      <c r="C502"/>
    </row>
    <row r="503" spans="1:3" x14ac:dyDescent="0.35">
      <c r="A503"/>
      <c r="B503"/>
      <c r="C503"/>
    </row>
    <row r="504" spans="1:3" x14ac:dyDescent="0.35">
      <c r="A504"/>
      <c r="B504"/>
      <c r="C504"/>
    </row>
    <row r="505" spans="1:3" x14ac:dyDescent="0.35">
      <c r="A505"/>
      <c r="B505"/>
      <c r="C50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9222-887D-4D67-9230-F8F55C4D8A28}">
  <dimension ref="A3:Z17"/>
  <sheetViews>
    <sheetView topLeftCell="Q1" zoomScale="85" zoomScaleNormal="85" workbookViewId="0">
      <selection activeCell="Z4" sqref="Z4"/>
    </sheetView>
  </sheetViews>
  <sheetFormatPr defaultRowHeight="14.5" x14ac:dyDescent="0.35"/>
  <cols>
    <col min="1" max="1" width="14.453125" bestFit="1" customWidth="1"/>
    <col min="2" max="2" width="11.6328125" bestFit="1" customWidth="1"/>
    <col min="9" max="9" width="14.453125" bestFit="1" customWidth="1"/>
    <col min="10" max="10" width="11.6328125" bestFit="1" customWidth="1"/>
    <col min="18" max="18" width="14.453125" bestFit="1" customWidth="1"/>
    <col min="19" max="19" width="11.6328125" bestFit="1" customWidth="1"/>
    <col min="25" max="25" width="18.26953125" bestFit="1" customWidth="1"/>
    <col min="26" max="26" width="11.6328125" bestFit="1" customWidth="1"/>
  </cols>
  <sheetData>
    <row r="3" spans="1:26" x14ac:dyDescent="0.35">
      <c r="A3" s="7" t="s">
        <v>49</v>
      </c>
      <c r="B3" t="s">
        <v>45</v>
      </c>
      <c r="I3" s="7" t="s">
        <v>49</v>
      </c>
      <c r="J3" t="s">
        <v>45</v>
      </c>
      <c r="R3" s="7" t="s">
        <v>49</v>
      </c>
      <c r="S3" t="s">
        <v>45</v>
      </c>
      <c r="Y3" s="7" t="s">
        <v>49</v>
      </c>
      <c r="Z3" t="s">
        <v>45</v>
      </c>
    </row>
    <row r="4" spans="1:26" x14ac:dyDescent="0.35">
      <c r="A4" s="8" t="s">
        <v>27</v>
      </c>
      <c r="B4" s="9">
        <v>5872975</v>
      </c>
      <c r="I4" s="8" t="s">
        <v>63</v>
      </c>
      <c r="J4" s="9">
        <v>61971147</v>
      </c>
      <c r="R4" s="8" t="s">
        <v>17</v>
      </c>
      <c r="S4" s="9">
        <v>8133534</v>
      </c>
      <c r="Y4" s="8" t="s">
        <v>40</v>
      </c>
      <c r="Z4" s="9">
        <v>7289473</v>
      </c>
    </row>
    <row r="5" spans="1:26" x14ac:dyDescent="0.35">
      <c r="A5" s="8" t="s">
        <v>22</v>
      </c>
      <c r="B5" s="9">
        <v>11262472</v>
      </c>
      <c r="I5" s="10" t="s">
        <v>51</v>
      </c>
      <c r="J5" s="9">
        <v>6651878</v>
      </c>
      <c r="R5" s="8" t="s">
        <v>36</v>
      </c>
      <c r="S5" s="9">
        <v>6708254</v>
      </c>
      <c r="Y5" s="8" t="s">
        <v>39</v>
      </c>
      <c r="Z5" s="9">
        <v>7085134</v>
      </c>
    </row>
    <row r="6" spans="1:26" x14ac:dyDescent="0.35">
      <c r="A6" s="8" t="s">
        <v>13</v>
      </c>
      <c r="B6" s="9">
        <v>12649515</v>
      </c>
      <c r="I6" s="10" t="s">
        <v>52</v>
      </c>
      <c r="J6" s="9">
        <v>4234973</v>
      </c>
      <c r="R6" s="8" t="s">
        <v>21</v>
      </c>
      <c r="S6" s="9">
        <v>10333379</v>
      </c>
      <c r="Y6" s="8" t="s">
        <v>33</v>
      </c>
      <c r="Z6" s="9">
        <v>6667653</v>
      </c>
    </row>
    <row r="7" spans="1:26" x14ac:dyDescent="0.35">
      <c r="A7" s="8" t="s">
        <v>32</v>
      </c>
      <c r="B7" s="9">
        <v>13957126</v>
      </c>
      <c r="I7" s="10" t="s">
        <v>53</v>
      </c>
      <c r="J7" s="9">
        <v>3641584</v>
      </c>
      <c r="R7" s="8" t="s">
        <v>31</v>
      </c>
      <c r="S7" s="9">
        <v>9231234</v>
      </c>
      <c r="Y7" s="8" t="s">
        <v>42</v>
      </c>
      <c r="Z7" s="9">
        <v>6495495</v>
      </c>
    </row>
    <row r="8" spans="1:26" x14ac:dyDescent="0.35">
      <c r="A8" s="8" t="s">
        <v>41</v>
      </c>
      <c r="B8" s="9">
        <v>6495495</v>
      </c>
      <c r="I8" s="10" t="s">
        <v>54</v>
      </c>
      <c r="J8" s="9">
        <v>5336527</v>
      </c>
      <c r="R8" s="8" t="s">
        <v>12</v>
      </c>
      <c r="S8" s="9">
        <v>6939065</v>
      </c>
      <c r="Y8" s="8" t="s">
        <v>19</v>
      </c>
      <c r="Z8" s="9">
        <v>6029970</v>
      </c>
    </row>
    <row r="9" spans="1:26" x14ac:dyDescent="0.35">
      <c r="A9" s="8" t="s">
        <v>18</v>
      </c>
      <c r="B9" s="9">
        <v>11733564</v>
      </c>
      <c r="I9" s="10" t="s">
        <v>55</v>
      </c>
      <c r="J9" s="9">
        <v>6828298</v>
      </c>
      <c r="R9" s="8" t="s">
        <v>34</v>
      </c>
      <c r="S9" s="9">
        <v>10697536</v>
      </c>
      <c r="Y9" s="8" t="s">
        <v>28</v>
      </c>
      <c r="Z9" s="9">
        <v>5872975</v>
      </c>
    </row>
    <row r="10" spans="1:26" x14ac:dyDescent="0.35">
      <c r="A10" s="8" t="s">
        <v>50</v>
      </c>
      <c r="B10" s="9">
        <v>61971147</v>
      </c>
      <c r="I10" s="10" t="s">
        <v>56</v>
      </c>
      <c r="J10" s="9">
        <v>5105138</v>
      </c>
      <c r="R10" s="8" t="s">
        <v>26</v>
      </c>
      <c r="S10" s="9">
        <v>9928145</v>
      </c>
      <c r="Y10" s="8" t="s">
        <v>37</v>
      </c>
      <c r="Z10" s="9">
        <v>5712992</v>
      </c>
    </row>
    <row r="11" spans="1:26" x14ac:dyDescent="0.35">
      <c r="I11" s="10" t="s">
        <v>57</v>
      </c>
      <c r="J11" s="9">
        <v>5433172</v>
      </c>
      <c r="R11" s="8" t="s">
        <v>50</v>
      </c>
      <c r="S11" s="9">
        <v>61971147</v>
      </c>
      <c r="Y11" s="8" t="s">
        <v>43</v>
      </c>
      <c r="Z11" s="9">
        <v>5703594</v>
      </c>
    </row>
    <row r="12" spans="1:26" x14ac:dyDescent="0.35">
      <c r="I12" s="10" t="s">
        <v>58</v>
      </c>
      <c r="J12" s="9">
        <v>5621153</v>
      </c>
      <c r="Y12" s="8" t="s">
        <v>14</v>
      </c>
      <c r="Z12" s="9">
        <v>5564381</v>
      </c>
    </row>
    <row r="13" spans="1:26" x14ac:dyDescent="0.35">
      <c r="I13" s="10" t="s">
        <v>59</v>
      </c>
      <c r="J13" s="9">
        <v>4525795</v>
      </c>
      <c r="Y13" s="8" t="s">
        <v>23</v>
      </c>
      <c r="Z13" s="9">
        <v>5549480</v>
      </c>
    </row>
    <row r="14" spans="1:26" x14ac:dyDescent="0.35">
      <c r="I14" s="10" t="s">
        <v>60</v>
      </c>
      <c r="J14" s="9">
        <v>4294337</v>
      </c>
      <c r="Y14" s="8" t="s">
        <v>50</v>
      </c>
      <c r="Z14" s="9">
        <v>61971147</v>
      </c>
    </row>
    <row r="15" spans="1:26" x14ac:dyDescent="0.35">
      <c r="I15" s="10" t="s">
        <v>61</v>
      </c>
      <c r="J15" s="9">
        <v>5525221</v>
      </c>
    </row>
    <row r="16" spans="1:26" x14ac:dyDescent="0.35">
      <c r="I16" s="10" t="s">
        <v>62</v>
      </c>
      <c r="J16" s="9">
        <v>4773071</v>
      </c>
    </row>
    <row r="17" spans="9:10" x14ac:dyDescent="0.35">
      <c r="I17" s="8" t="s">
        <v>50</v>
      </c>
      <c r="J17" s="9">
        <v>61971147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2A05-72F8-42BA-BA95-7B3C4E2A741E}">
  <dimension ref="B4:AB16"/>
  <sheetViews>
    <sheetView showGridLines="0" tabSelected="1" zoomScale="55" zoomScaleNormal="55" workbookViewId="0">
      <selection activeCell="AA24" sqref="AA24"/>
    </sheetView>
  </sheetViews>
  <sheetFormatPr defaultRowHeight="14.5" x14ac:dyDescent="0.35"/>
  <cols>
    <col min="28" max="28" width="17.54296875" bestFit="1" customWidth="1"/>
  </cols>
  <sheetData>
    <row r="4" spans="2:28" ht="14.5" customHeight="1" x14ac:dyDescent="0.8">
      <c r="B4" s="14" t="s">
        <v>64</v>
      </c>
      <c r="C4" s="14"/>
      <c r="D4" s="14"/>
      <c r="E4" s="14"/>
      <c r="F4" s="14"/>
      <c r="G4" s="14"/>
      <c r="H4" s="14"/>
      <c r="I4" s="14"/>
      <c r="J4" s="14"/>
      <c r="K4" s="14"/>
      <c r="L4" s="14"/>
      <c r="M4" s="14"/>
      <c r="N4" s="14"/>
      <c r="O4" s="14"/>
      <c r="P4" s="14"/>
      <c r="Q4" s="14"/>
      <c r="R4" s="14"/>
      <c r="S4" s="14"/>
      <c r="T4" s="14"/>
      <c r="U4" s="14"/>
      <c r="V4" s="14"/>
      <c r="W4" s="14"/>
      <c r="X4" s="14"/>
      <c r="Y4" s="14"/>
      <c r="Z4" s="12"/>
    </row>
    <row r="5" spans="2:28" ht="14.5" customHeight="1" x14ac:dyDescent="0.8">
      <c r="B5" s="14"/>
      <c r="C5" s="14"/>
      <c r="D5" s="14"/>
      <c r="E5" s="14"/>
      <c r="F5" s="14"/>
      <c r="G5" s="14"/>
      <c r="H5" s="14"/>
      <c r="I5" s="14"/>
      <c r="J5" s="14"/>
      <c r="K5" s="14"/>
      <c r="L5" s="14"/>
      <c r="M5" s="14"/>
      <c r="N5" s="14"/>
      <c r="O5" s="14"/>
      <c r="P5" s="14"/>
      <c r="Q5" s="14"/>
      <c r="R5" s="14"/>
      <c r="S5" s="14"/>
      <c r="T5" s="14"/>
      <c r="U5" s="14"/>
      <c r="V5" s="14"/>
      <c r="W5" s="14"/>
      <c r="X5" s="14"/>
      <c r="Y5" s="14"/>
      <c r="Z5" s="12"/>
    </row>
    <row r="6" spans="2:28" x14ac:dyDescent="0.35">
      <c r="B6" s="14"/>
      <c r="C6" s="14"/>
      <c r="D6" s="14"/>
      <c r="E6" s="14"/>
      <c r="F6" s="14"/>
      <c r="G6" s="14"/>
      <c r="H6" s="14"/>
      <c r="I6" s="14"/>
      <c r="J6" s="14"/>
      <c r="K6" s="14"/>
      <c r="L6" s="14"/>
      <c r="M6" s="14"/>
      <c r="N6" s="14"/>
      <c r="O6" s="14"/>
      <c r="P6" s="14"/>
      <c r="Q6" s="14"/>
      <c r="R6" s="14"/>
      <c r="S6" s="14"/>
      <c r="T6" s="14"/>
      <c r="U6" s="14"/>
      <c r="V6" s="14"/>
      <c r="W6" s="14"/>
      <c r="X6" s="14"/>
      <c r="Y6" s="14"/>
    </row>
    <row r="7" spans="2:28" x14ac:dyDescent="0.35">
      <c r="B7" s="14"/>
      <c r="C7" s="14"/>
      <c r="D7" s="14"/>
      <c r="E7" s="14"/>
      <c r="F7" s="14"/>
      <c r="G7" s="14"/>
      <c r="H7" s="14"/>
      <c r="I7" s="14"/>
      <c r="J7" s="14"/>
      <c r="K7" s="14"/>
      <c r="L7" s="14"/>
      <c r="M7" s="14"/>
      <c r="N7" s="14"/>
      <c r="O7" s="14"/>
      <c r="P7" s="14"/>
      <c r="Q7" s="14"/>
      <c r="R7" s="14"/>
      <c r="S7" s="14"/>
      <c r="T7" s="14"/>
      <c r="U7" s="14"/>
      <c r="V7" s="14"/>
      <c r="W7" s="14"/>
      <c r="X7" s="14"/>
      <c r="Y7" s="14"/>
    </row>
    <row r="11" spans="2:28" x14ac:dyDescent="0.35">
      <c r="AB11" s="13">
        <f>GETPIVOTDATA("Sum of Sales",Pivot!$A$3)</f>
        <v>123942294</v>
      </c>
    </row>
    <row r="14" spans="2:28" x14ac:dyDescent="0.35">
      <c r="AB14" s="13">
        <f>GETPIVOTDATA("Sum of Cost",Pivot!$A$3)</f>
        <v>92497859.279999942</v>
      </c>
    </row>
    <row r="15" spans="2:28" x14ac:dyDescent="0.35">
      <c r="AB15" s="13">
        <f>GETPIVOTDATA("Sum of Profit",Pivot!$A$3)</f>
        <v>31444434.71999998</v>
      </c>
    </row>
    <row r="16" spans="2:28" x14ac:dyDescent="0.35">
      <c r="AB16" s="11">
        <f>GETPIVOTDATA("Average of Profit Margin",Pivot!$A$3)</f>
        <v>0.25376845495204459</v>
      </c>
    </row>
  </sheetData>
  <mergeCells count="1">
    <mergeCell ref="B4:Y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8576"/>
  <sheetViews>
    <sheetView topLeftCell="C1" zoomScaleNormal="100" workbookViewId="0">
      <pane ySplit="1" topLeftCell="A482" activePane="bottomLeft" state="frozen"/>
      <selection pane="bottomLeft" activeCell="B501" sqref="A1:M501"/>
    </sheetView>
  </sheetViews>
  <sheetFormatPr defaultRowHeight="14.5" x14ac:dyDescent="0.35"/>
  <cols>
    <col min="2" max="2" width="25.08984375" customWidth="1"/>
    <col min="3" max="3" width="12.36328125" customWidth="1"/>
    <col min="4" max="4" width="14.54296875" customWidth="1"/>
    <col min="5" max="5" width="16.453125" customWidth="1"/>
    <col min="6" max="6" width="13" customWidth="1"/>
    <col min="7" max="7" width="14.1796875" customWidth="1"/>
    <col min="9" max="12" width="16.81640625" style="5" customWidth="1"/>
    <col min="13" max="13" width="16.81640625" style="4" customWidth="1"/>
  </cols>
  <sheetData>
    <row r="1" spans="1:13" x14ac:dyDescent="0.35">
      <c r="A1" s="1" t="s">
        <v>0</v>
      </c>
      <c r="B1" s="1" t="s">
        <v>1</v>
      </c>
      <c r="C1" s="1" t="s">
        <v>2</v>
      </c>
      <c r="D1" s="1" t="s">
        <v>3</v>
      </c>
      <c r="E1" s="1" t="s">
        <v>4</v>
      </c>
      <c r="F1" s="1" t="s">
        <v>5</v>
      </c>
      <c r="G1" s="1" t="s">
        <v>6</v>
      </c>
      <c r="H1" s="1" t="s">
        <v>7</v>
      </c>
      <c r="I1" s="6" t="s">
        <v>8</v>
      </c>
      <c r="J1" s="6" t="s">
        <v>9</v>
      </c>
      <c r="K1" s="6" t="s">
        <v>10</v>
      </c>
      <c r="L1" s="6" t="s">
        <v>11</v>
      </c>
      <c r="M1" s="3" t="s">
        <v>44</v>
      </c>
    </row>
    <row r="2" spans="1:13" x14ac:dyDescent="0.35">
      <c r="A2">
        <v>2000</v>
      </c>
      <c r="B2" s="2">
        <v>45625</v>
      </c>
      <c r="C2" t="s">
        <v>12</v>
      </c>
      <c r="D2" t="s">
        <v>13</v>
      </c>
      <c r="E2" t="s">
        <v>14</v>
      </c>
      <c r="F2" t="s">
        <v>15</v>
      </c>
      <c r="G2" t="s">
        <v>16</v>
      </c>
      <c r="H2">
        <v>1</v>
      </c>
      <c r="I2" s="5">
        <v>17494</v>
      </c>
      <c r="J2" s="5">
        <v>17494</v>
      </c>
      <c r="K2" s="5">
        <v>14244.57</v>
      </c>
      <c r="L2" s="5">
        <v>3249.43</v>
      </c>
      <c r="M2" s="4">
        <f>L2/J2</f>
        <v>0.18574539842231622</v>
      </c>
    </row>
    <row r="3" spans="1:13" x14ac:dyDescent="0.35">
      <c r="A3">
        <v>2001</v>
      </c>
      <c r="B3" s="2">
        <v>45321</v>
      </c>
      <c r="C3" t="s">
        <v>17</v>
      </c>
      <c r="D3" t="s">
        <v>18</v>
      </c>
      <c r="E3" t="s">
        <v>19</v>
      </c>
      <c r="F3" t="s">
        <v>15</v>
      </c>
      <c r="G3" t="s">
        <v>20</v>
      </c>
      <c r="H3">
        <v>5</v>
      </c>
      <c r="I3" s="5">
        <v>36140</v>
      </c>
      <c r="J3" s="5">
        <v>180700</v>
      </c>
      <c r="K3" s="5">
        <v>118810.09</v>
      </c>
      <c r="L3" s="5">
        <v>61889.91</v>
      </c>
      <c r="M3" s="4">
        <f t="shared" ref="M3:M66" si="0">L3/J3</f>
        <v>0.34250088544548979</v>
      </c>
    </row>
    <row r="4" spans="1:13" x14ac:dyDescent="0.35">
      <c r="A4">
        <v>2002</v>
      </c>
      <c r="B4" s="2">
        <v>45415</v>
      </c>
      <c r="C4" t="s">
        <v>21</v>
      </c>
      <c r="D4" t="s">
        <v>22</v>
      </c>
      <c r="E4" t="s">
        <v>23</v>
      </c>
      <c r="F4" t="s">
        <v>24</v>
      </c>
      <c r="G4" t="s">
        <v>25</v>
      </c>
      <c r="H4">
        <v>1</v>
      </c>
      <c r="I4" s="5">
        <v>63642</v>
      </c>
      <c r="J4" s="5">
        <v>63642</v>
      </c>
      <c r="K4" s="5">
        <v>42119.68</v>
      </c>
      <c r="L4" s="5">
        <v>21522.32</v>
      </c>
      <c r="M4" s="4">
        <f t="shared" si="0"/>
        <v>0.33817793281166525</v>
      </c>
    </row>
    <row r="5" spans="1:13" x14ac:dyDescent="0.35">
      <c r="A5">
        <v>2003</v>
      </c>
      <c r="B5" s="2">
        <v>45614</v>
      </c>
      <c r="C5" t="s">
        <v>26</v>
      </c>
      <c r="D5" t="s">
        <v>27</v>
      </c>
      <c r="E5" t="s">
        <v>28</v>
      </c>
      <c r="F5" t="s">
        <v>29</v>
      </c>
      <c r="G5" t="s">
        <v>30</v>
      </c>
      <c r="H5">
        <v>5</v>
      </c>
      <c r="I5" s="5">
        <v>16108</v>
      </c>
      <c r="J5" s="5">
        <v>80540</v>
      </c>
      <c r="K5" s="5">
        <v>61646.97</v>
      </c>
      <c r="L5" s="5">
        <v>18893.03</v>
      </c>
      <c r="M5" s="4">
        <f t="shared" si="0"/>
        <v>0.2345794636205612</v>
      </c>
    </row>
    <row r="6" spans="1:13" x14ac:dyDescent="0.35">
      <c r="A6">
        <v>2004</v>
      </c>
      <c r="B6" s="2">
        <v>45315</v>
      </c>
      <c r="C6" t="s">
        <v>26</v>
      </c>
      <c r="D6" t="s">
        <v>22</v>
      </c>
      <c r="E6" t="s">
        <v>23</v>
      </c>
      <c r="F6" t="s">
        <v>24</v>
      </c>
      <c r="G6" t="s">
        <v>30</v>
      </c>
      <c r="H6">
        <v>5</v>
      </c>
      <c r="I6" s="5">
        <v>25455</v>
      </c>
      <c r="J6" s="5">
        <v>127275</v>
      </c>
      <c r="K6" s="5">
        <v>90100.75</v>
      </c>
      <c r="L6" s="5">
        <v>37174.25</v>
      </c>
      <c r="M6" s="4">
        <f t="shared" si="0"/>
        <v>0.29207817717540757</v>
      </c>
    </row>
    <row r="7" spans="1:13" x14ac:dyDescent="0.35">
      <c r="A7">
        <v>2005</v>
      </c>
      <c r="B7" s="2">
        <v>45584</v>
      </c>
      <c r="C7" t="s">
        <v>31</v>
      </c>
      <c r="D7" t="s">
        <v>32</v>
      </c>
      <c r="E7" t="s">
        <v>33</v>
      </c>
      <c r="F7" t="s">
        <v>24</v>
      </c>
      <c r="G7" t="s">
        <v>25</v>
      </c>
      <c r="H7">
        <v>3</v>
      </c>
      <c r="I7" s="5">
        <v>31688</v>
      </c>
      <c r="J7" s="5">
        <v>95064</v>
      </c>
      <c r="K7" s="5">
        <v>63750.98</v>
      </c>
      <c r="L7" s="5">
        <v>31313.02</v>
      </c>
      <c r="M7" s="4">
        <f t="shared" si="0"/>
        <v>0.32938883278633341</v>
      </c>
    </row>
    <row r="8" spans="1:13" x14ac:dyDescent="0.35">
      <c r="A8">
        <v>2006</v>
      </c>
      <c r="B8" s="2">
        <v>45482</v>
      </c>
      <c r="C8" t="s">
        <v>34</v>
      </c>
      <c r="D8" t="s">
        <v>27</v>
      </c>
      <c r="E8" t="s">
        <v>28</v>
      </c>
      <c r="F8" t="s">
        <v>29</v>
      </c>
      <c r="G8" t="s">
        <v>30</v>
      </c>
      <c r="H8">
        <v>1</v>
      </c>
      <c r="I8" s="5">
        <v>79793</v>
      </c>
      <c r="J8" s="5">
        <v>79793</v>
      </c>
      <c r="K8" s="5">
        <v>63229.74</v>
      </c>
      <c r="L8" s="5">
        <v>16563.259999999998</v>
      </c>
      <c r="M8" s="4">
        <f t="shared" si="0"/>
        <v>0.20757785770681636</v>
      </c>
    </row>
    <row r="9" spans="1:13" x14ac:dyDescent="0.35">
      <c r="A9">
        <v>2007</v>
      </c>
      <c r="B9" s="2">
        <v>45397</v>
      </c>
      <c r="C9" t="s">
        <v>26</v>
      </c>
      <c r="D9" t="s">
        <v>27</v>
      </c>
      <c r="E9" t="s">
        <v>28</v>
      </c>
      <c r="F9" t="s">
        <v>29</v>
      </c>
      <c r="G9" t="s">
        <v>20</v>
      </c>
      <c r="H9">
        <v>4</v>
      </c>
      <c r="I9" s="5">
        <v>77693</v>
      </c>
      <c r="J9" s="5">
        <v>310772</v>
      </c>
      <c r="K9" s="5">
        <v>228578.54</v>
      </c>
      <c r="L9" s="5">
        <v>82193.460000000006</v>
      </c>
      <c r="M9" s="4">
        <f t="shared" si="0"/>
        <v>0.26448154917431432</v>
      </c>
    </row>
    <row r="10" spans="1:13" x14ac:dyDescent="0.35">
      <c r="A10">
        <v>2008</v>
      </c>
      <c r="B10" s="2">
        <v>45524</v>
      </c>
      <c r="C10" t="s">
        <v>21</v>
      </c>
      <c r="D10" t="s">
        <v>13</v>
      </c>
      <c r="E10" t="s">
        <v>14</v>
      </c>
      <c r="F10" t="s">
        <v>15</v>
      </c>
      <c r="G10" t="s">
        <v>20</v>
      </c>
      <c r="H10">
        <v>3</v>
      </c>
      <c r="I10" s="5">
        <v>47291</v>
      </c>
      <c r="J10" s="5">
        <v>141873</v>
      </c>
      <c r="K10" s="5">
        <v>99266.45</v>
      </c>
      <c r="L10" s="5">
        <v>42606.55</v>
      </c>
      <c r="M10" s="4">
        <f t="shared" si="0"/>
        <v>0.3003147180929423</v>
      </c>
    </row>
    <row r="11" spans="1:13" x14ac:dyDescent="0.35">
      <c r="A11">
        <v>2009</v>
      </c>
      <c r="B11" s="2">
        <v>45333</v>
      </c>
      <c r="C11" t="s">
        <v>34</v>
      </c>
      <c r="D11" t="s">
        <v>32</v>
      </c>
      <c r="E11" t="s">
        <v>33</v>
      </c>
      <c r="F11" t="s">
        <v>24</v>
      </c>
      <c r="G11" t="s">
        <v>30</v>
      </c>
      <c r="H11">
        <v>5</v>
      </c>
      <c r="I11" s="5">
        <v>47354</v>
      </c>
      <c r="J11" s="5">
        <v>236770</v>
      </c>
      <c r="K11" s="5">
        <v>178770.66</v>
      </c>
      <c r="L11" s="5">
        <v>57999.34</v>
      </c>
      <c r="M11" s="4">
        <f t="shared" si="0"/>
        <v>0.24496067914009376</v>
      </c>
    </row>
    <row r="12" spans="1:13" x14ac:dyDescent="0.35">
      <c r="A12">
        <v>2010</v>
      </c>
      <c r="B12" s="2">
        <v>45439</v>
      </c>
      <c r="C12" t="s">
        <v>34</v>
      </c>
      <c r="D12" t="s">
        <v>13</v>
      </c>
      <c r="E12" t="s">
        <v>14</v>
      </c>
      <c r="F12" t="s">
        <v>15</v>
      </c>
      <c r="G12" t="s">
        <v>16</v>
      </c>
      <c r="H12">
        <v>5</v>
      </c>
      <c r="I12" s="5">
        <v>17594</v>
      </c>
      <c r="J12" s="5">
        <v>87970</v>
      </c>
      <c r="K12" s="5">
        <v>59257.75</v>
      </c>
      <c r="L12" s="5">
        <v>28712.25</v>
      </c>
      <c r="M12" s="4">
        <f t="shared" si="0"/>
        <v>0.32638683642150734</v>
      </c>
    </row>
    <row r="13" spans="1:13" x14ac:dyDescent="0.35">
      <c r="A13">
        <v>2011</v>
      </c>
      <c r="B13" s="2">
        <v>45369</v>
      </c>
      <c r="C13" t="s">
        <v>12</v>
      </c>
      <c r="D13" t="s">
        <v>22</v>
      </c>
      <c r="E13" t="s">
        <v>23</v>
      </c>
      <c r="F13" t="s">
        <v>24</v>
      </c>
      <c r="G13" t="s">
        <v>35</v>
      </c>
      <c r="H13">
        <v>4</v>
      </c>
      <c r="I13" s="5">
        <v>63272</v>
      </c>
      <c r="J13" s="5">
        <v>253088</v>
      </c>
      <c r="K13" s="5">
        <v>166491.78</v>
      </c>
      <c r="L13" s="5">
        <v>86596.22</v>
      </c>
      <c r="M13" s="4">
        <f t="shared" si="0"/>
        <v>0.34215853774181315</v>
      </c>
    </row>
    <row r="14" spans="1:13" x14ac:dyDescent="0.35">
      <c r="A14">
        <v>2012</v>
      </c>
      <c r="B14" s="2">
        <v>45585</v>
      </c>
      <c r="C14" t="s">
        <v>36</v>
      </c>
      <c r="D14" t="s">
        <v>18</v>
      </c>
      <c r="E14" t="s">
        <v>19</v>
      </c>
      <c r="F14" t="s">
        <v>15</v>
      </c>
      <c r="G14" t="s">
        <v>20</v>
      </c>
      <c r="H14">
        <v>3</v>
      </c>
      <c r="I14" s="5">
        <v>52580</v>
      </c>
      <c r="J14" s="5">
        <v>157740</v>
      </c>
      <c r="K14" s="5">
        <v>124466.18</v>
      </c>
      <c r="L14" s="5">
        <v>33273.82</v>
      </c>
      <c r="M14" s="4">
        <f t="shared" si="0"/>
        <v>0.21094091543045518</v>
      </c>
    </row>
    <row r="15" spans="1:13" x14ac:dyDescent="0.35">
      <c r="A15">
        <v>2013</v>
      </c>
      <c r="B15" s="2">
        <v>45525</v>
      </c>
      <c r="C15" t="s">
        <v>21</v>
      </c>
      <c r="D15" t="s">
        <v>27</v>
      </c>
      <c r="E15" t="s">
        <v>28</v>
      </c>
      <c r="F15" t="s">
        <v>29</v>
      </c>
      <c r="G15" t="s">
        <v>20</v>
      </c>
      <c r="H15">
        <v>1</v>
      </c>
      <c r="I15" s="5">
        <v>20267</v>
      </c>
      <c r="J15" s="5">
        <v>20267</v>
      </c>
      <c r="K15" s="5">
        <v>17002.72</v>
      </c>
      <c r="L15" s="5">
        <v>3264.28</v>
      </c>
      <c r="M15" s="4">
        <f t="shared" si="0"/>
        <v>0.16106379829279124</v>
      </c>
    </row>
    <row r="16" spans="1:13" x14ac:dyDescent="0.35">
      <c r="A16">
        <v>2014</v>
      </c>
      <c r="B16" s="2">
        <v>45325</v>
      </c>
      <c r="C16" t="s">
        <v>34</v>
      </c>
      <c r="D16" t="s">
        <v>22</v>
      </c>
      <c r="E16" t="s">
        <v>37</v>
      </c>
      <c r="F16" t="s">
        <v>24</v>
      </c>
      <c r="G16" t="s">
        <v>38</v>
      </c>
      <c r="H16">
        <v>1</v>
      </c>
      <c r="I16" s="5">
        <v>48580</v>
      </c>
      <c r="J16" s="5">
        <v>48580</v>
      </c>
      <c r="K16" s="5">
        <v>37864.5</v>
      </c>
      <c r="L16" s="5">
        <v>10715.5</v>
      </c>
      <c r="M16" s="4">
        <f t="shared" si="0"/>
        <v>0.22057431041580897</v>
      </c>
    </row>
    <row r="17" spans="1:13" x14ac:dyDescent="0.35">
      <c r="A17">
        <v>2015</v>
      </c>
      <c r="B17" s="2">
        <v>45489</v>
      </c>
      <c r="C17" t="s">
        <v>17</v>
      </c>
      <c r="D17" t="s">
        <v>22</v>
      </c>
      <c r="E17" t="s">
        <v>37</v>
      </c>
      <c r="F17" t="s">
        <v>24</v>
      </c>
      <c r="G17" t="s">
        <v>38</v>
      </c>
      <c r="H17">
        <v>3</v>
      </c>
      <c r="I17" s="5">
        <v>10957</v>
      </c>
      <c r="J17" s="5">
        <v>32871</v>
      </c>
      <c r="K17" s="5">
        <v>27550.16</v>
      </c>
      <c r="L17" s="5">
        <v>5320.84</v>
      </c>
      <c r="M17" s="4">
        <f t="shared" si="0"/>
        <v>0.16187034163852637</v>
      </c>
    </row>
    <row r="18" spans="1:13" x14ac:dyDescent="0.35">
      <c r="A18">
        <v>2016</v>
      </c>
      <c r="B18" s="2">
        <v>45351</v>
      </c>
      <c r="C18" t="s">
        <v>12</v>
      </c>
      <c r="D18" t="s">
        <v>13</v>
      </c>
      <c r="E18" t="s">
        <v>14</v>
      </c>
      <c r="F18" t="s">
        <v>15</v>
      </c>
      <c r="G18" t="s">
        <v>20</v>
      </c>
      <c r="H18">
        <v>4</v>
      </c>
      <c r="I18" s="5">
        <v>15727</v>
      </c>
      <c r="J18" s="5">
        <v>62908</v>
      </c>
      <c r="K18" s="5">
        <v>43635.6</v>
      </c>
      <c r="L18" s="5">
        <v>19272.400000000001</v>
      </c>
      <c r="M18" s="4">
        <f t="shared" si="0"/>
        <v>0.30635849176575319</v>
      </c>
    </row>
    <row r="19" spans="1:13" x14ac:dyDescent="0.35">
      <c r="A19">
        <v>2017</v>
      </c>
      <c r="B19" s="2">
        <v>45418</v>
      </c>
      <c r="C19" t="s">
        <v>12</v>
      </c>
      <c r="D19" t="s">
        <v>13</v>
      </c>
      <c r="E19" t="s">
        <v>39</v>
      </c>
      <c r="F19" t="s">
        <v>24</v>
      </c>
      <c r="G19" t="s">
        <v>38</v>
      </c>
      <c r="H19">
        <v>4</v>
      </c>
      <c r="I19" s="5">
        <v>59242</v>
      </c>
      <c r="J19" s="5">
        <v>236968</v>
      </c>
      <c r="K19" s="5">
        <v>197480.42</v>
      </c>
      <c r="L19" s="5">
        <v>39487.58</v>
      </c>
      <c r="M19" s="4">
        <f t="shared" si="0"/>
        <v>0.16663676108166503</v>
      </c>
    </row>
    <row r="20" spans="1:13" x14ac:dyDescent="0.35">
      <c r="A20">
        <v>2018</v>
      </c>
      <c r="B20" s="2">
        <v>45521</v>
      </c>
      <c r="C20" t="s">
        <v>26</v>
      </c>
      <c r="D20" t="s">
        <v>22</v>
      </c>
      <c r="E20" t="s">
        <v>37</v>
      </c>
      <c r="F20" t="s">
        <v>24</v>
      </c>
      <c r="G20" t="s">
        <v>30</v>
      </c>
      <c r="H20">
        <v>4</v>
      </c>
      <c r="I20" s="5">
        <v>44416</v>
      </c>
      <c r="J20" s="5">
        <v>177664</v>
      </c>
      <c r="K20" s="5">
        <v>146870.70000000001</v>
      </c>
      <c r="L20" s="5">
        <v>30793.3</v>
      </c>
      <c r="M20" s="4">
        <f t="shared" si="0"/>
        <v>0.17332323937319885</v>
      </c>
    </row>
    <row r="21" spans="1:13" x14ac:dyDescent="0.35">
      <c r="A21">
        <v>2019</v>
      </c>
      <c r="B21" s="2">
        <v>45434</v>
      </c>
      <c r="C21" t="s">
        <v>36</v>
      </c>
      <c r="D21" t="s">
        <v>22</v>
      </c>
      <c r="E21" t="s">
        <v>23</v>
      </c>
      <c r="F21" t="s">
        <v>24</v>
      </c>
      <c r="G21" t="s">
        <v>20</v>
      </c>
      <c r="H21">
        <v>4</v>
      </c>
      <c r="I21" s="5">
        <v>55024</v>
      </c>
      <c r="J21" s="5">
        <v>220096</v>
      </c>
      <c r="K21" s="5">
        <v>173115.32</v>
      </c>
      <c r="L21" s="5">
        <v>46980.68</v>
      </c>
      <c r="M21" s="4">
        <f t="shared" si="0"/>
        <v>0.21345540127944171</v>
      </c>
    </row>
    <row r="22" spans="1:13" x14ac:dyDescent="0.35">
      <c r="A22">
        <v>2020</v>
      </c>
      <c r="B22" s="2">
        <v>45334</v>
      </c>
      <c r="C22" t="s">
        <v>12</v>
      </c>
      <c r="D22" t="s">
        <v>22</v>
      </c>
      <c r="E22" t="s">
        <v>23</v>
      </c>
      <c r="F22" t="s">
        <v>24</v>
      </c>
      <c r="G22" t="s">
        <v>30</v>
      </c>
      <c r="H22">
        <v>2</v>
      </c>
      <c r="I22" s="5">
        <v>27830</v>
      </c>
      <c r="J22" s="5">
        <v>55660</v>
      </c>
      <c r="K22" s="5">
        <v>38761.14</v>
      </c>
      <c r="L22" s="5">
        <v>16898.86</v>
      </c>
      <c r="M22" s="4">
        <f t="shared" si="0"/>
        <v>0.30360869565217391</v>
      </c>
    </row>
    <row r="23" spans="1:13" x14ac:dyDescent="0.35">
      <c r="A23">
        <v>2021</v>
      </c>
      <c r="B23" s="2">
        <v>45593</v>
      </c>
      <c r="C23" t="s">
        <v>26</v>
      </c>
      <c r="D23" t="s">
        <v>32</v>
      </c>
      <c r="E23" t="s">
        <v>40</v>
      </c>
      <c r="F23" t="s">
        <v>15</v>
      </c>
      <c r="G23" t="s">
        <v>16</v>
      </c>
      <c r="H23">
        <v>2</v>
      </c>
      <c r="I23" s="5">
        <v>42438</v>
      </c>
      <c r="J23" s="5">
        <v>84876</v>
      </c>
      <c r="K23" s="5">
        <v>59955.23</v>
      </c>
      <c r="L23" s="5">
        <v>24920.77</v>
      </c>
      <c r="M23" s="4">
        <f t="shared" si="0"/>
        <v>0.2936138602196145</v>
      </c>
    </row>
    <row r="24" spans="1:13" x14ac:dyDescent="0.35">
      <c r="A24">
        <v>2022</v>
      </c>
      <c r="B24" s="2">
        <v>45481</v>
      </c>
      <c r="C24" t="s">
        <v>21</v>
      </c>
      <c r="D24" t="s">
        <v>32</v>
      </c>
      <c r="E24" t="s">
        <v>33</v>
      </c>
      <c r="F24" t="s">
        <v>24</v>
      </c>
      <c r="G24" t="s">
        <v>20</v>
      </c>
      <c r="H24">
        <v>5</v>
      </c>
      <c r="I24" s="5">
        <v>49761</v>
      </c>
      <c r="J24" s="5">
        <v>248805</v>
      </c>
      <c r="K24" s="5">
        <v>209150.36</v>
      </c>
      <c r="L24" s="5">
        <v>39654.639999999999</v>
      </c>
      <c r="M24" s="4">
        <f t="shared" si="0"/>
        <v>0.15938039830389261</v>
      </c>
    </row>
    <row r="25" spans="1:13" x14ac:dyDescent="0.35">
      <c r="A25">
        <v>2023</v>
      </c>
      <c r="B25" s="2">
        <v>45638</v>
      </c>
      <c r="C25" t="s">
        <v>31</v>
      </c>
      <c r="D25" t="s">
        <v>41</v>
      </c>
      <c r="E25" t="s">
        <v>42</v>
      </c>
      <c r="F25" t="s">
        <v>24</v>
      </c>
      <c r="G25" t="s">
        <v>38</v>
      </c>
      <c r="H25">
        <v>1</v>
      </c>
      <c r="I25" s="5">
        <v>67853</v>
      </c>
      <c r="J25" s="5">
        <v>67853</v>
      </c>
      <c r="K25" s="5">
        <v>56311.65</v>
      </c>
      <c r="L25" s="5">
        <v>11541.35</v>
      </c>
      <c r="M25" s="4">
        <f t="shared" si="0"/>
        <v>0.17009343728353943</v>
      </c>
    </row>
    <row r="26" spans="1:13" x14ac:dyDescent="0.35">
      <c r="A26">
        <v>2024</v>
      </c>
      <c r="B26" s="2">
        <v>45496</v>
      </c>
      <c r="C26" t="s">
        <v>21</v>
      </c>
      <c r="D26" t="s">
        <v>41</v>
      </c>
      <c r="E26" t="s">
        <v>42</v>
      </c>
      <c r="F26" t="s">
        <v>24</v>
      </c>
      <c r="G26" t="s">
        <v>16</v>
      </c>
      <c r="H26">
        <v>4</v>
      </c>
      <c r="I26" s="5">
        <v>21570</v>
      </c>
      <c r="J26" s="5">
        <v>86280</v>
      </c>
      <c r="K26" s="5">
        <v>64391.16</v>
      </c>
      <c r="L26" s="5">
        <v>21888.84</v>
      </c>
      <c r="M26" s="4">
        <f t="shared" si="0"/>
        <v>0.25369541029207232</v>
      </c>
    </row>
    <row r="27" spans="1:13" x14ac:dyDescent="0.35">
      <c r="A27">
        <v>2025</v>
      </c>
      <c r="B27" s="2">
        <v>45326</v>
      </c>
      <c r="C27" t="s">
        <v>26</v>
      </c>
      <c r="D27" t="s">
        <v>22</v>
      </c>
      <c r="E27" t="s">
        <v>23</v>
      </c>
      <c r="F27" t="s">
        <v>24</v>
      </c>
      <c r="G27" t="s">
        <v>30</v>
      </c>
      <c r="H27">
        <v>2</v>
      </c>
      <c r="I27" s="5">
        <v>65753</v>
      </c>
      <c r="J27" s="5">
        <v>131506</v>
      </c>
      <c r="K27" s="5">
        <v>89747.67</v>
      </c>
      <c r="L27" s="5">
        <v>41758.33</v>
      </c>
      <c r="M27" s="4">
        <f t="shared" si="0"/>
        <v>0.31753935181664716</v>
      </c>
    </row>
    <row r="28" spans="1:13" x14ac:dyDescent="0.35">
      <c r="A28">
        <v>2026</v>
      </c>
      <c r="B28" s="2">
        <v>45344</v>
      </c>
      <c r="C28" t="s">
        <v>31</v>
      </c>
      <c r="D28" t="s">
        <v>13</v>
      </c>
      <c r="E28" t="s">
        <v>14</v>
      </c>
      <c r="F28" t="s">
        <v>15</v>
      </c>
      <c r="G28" t="s">
        <v>25</v>
      </c>
      <c r="H28">
        <v>1</v>
      </c>
      <c r="I28" s="5">
        <v>27826</v>
      </c>
      <c r="J28" s="5">
        <v>27826</v>
      </c>
      <c r="K28" s="5">
        <v>21073.29</v>
      </c>
      <c r="L28" s="5">
        <v>6752.71</v>
      </c>
      <c r="M28" s="4">
        <f t="shared" si="0"/>
        <v>0.24267627398835623</v>
      </c>
    </row>
    <row r="29" spans="1:13" x14ac:dyDescent="0.35">
      <c r="A29">
        <v>2027</v>
      </c>
      <c r="B29" s="2">
        <v>45328</v>
      </c>
      <c r="C29" t="s">
        <v>31</v>
      </c>
      <c r="D29" t="s">
        <v>13</v>
      </c>
      <c r="E29" t="s">
        <v>14</v>
      </c>
      <c r="F29" t="s">
        <v>15</v>
      </c>
      <c r="G29" t="s">
        <v>25</v>
      </c>
      <c r="H29">
        <v>2</v>
      </c>
      <c r="I29" s="5">
        <v>57313</v>
      </c>
      <c r="J29" s="5">
        <v>114626</v>
      </c>
      <c r="K29" s="5">
        <v>77912.45</v>
      </c>
      <c r="L29" s="5">
        <v>36713.550000000003</v>
      </c>
      <c r="M29" s="4">
        <f t="shared" si="0"/>
        <v>0.32028989932476054</v>
      </c>
    </row>
    <row r="30" spans="1:13" x14ac:dyDescent="0.35">
      <c r="A30">
        <v>2028</v>
      </c>
      <c r="B30" s="2">
        <v>45478</v>
      </c>
      <c r="C30" t="s">
        <v>17</v>
      </c>
      <c r="D30" t="s">
        <v>13</v>
      </c>
      <c r="E30" t="s">
        <v>39</v>
      </c>
      <c r="F30" t="s">
        <v>24</v>
      </c>
      <c r="G30" t="s">
        <v>20</v>
      </c>
      <c r="H30">
        <v>4</v>
      </c>
      <c r="I30" s="5">
        <v>24101</v>
      </c>
      <c r="J30" s="5">
        <v>96404</v>
      </c>
      <c r="K30" s="5">
        <v>64886.71</v>
      </c>
      <c r="L30" s="5">
        <v>31517.29</v>
      </c>
      <c r="M30" s="4">
        <f t="shared" si="0"/>
        <v>0.32692927679349404</v>
      </c>
    </row>
    <row r="31" spans="1:13" x14ac:dyDescent="0.35">
      <c r="A31">
        <v>2029</v>
      </c>
      <c r="B31" s="2">
        <v>45539</v>
      </c>
      <c r="C31" t="s">
        <v>21</v>
      </c>
      <c r="D31" t="s">
        <v>22</v>
      </c>
      <c r="E31" t="s">
        <v>37</v>
      </c>
      <c r="F31" t="s">
        <v>24</v>
      </c>
      <c r="G31" t="s">
        <v>16</v>
      </c>
      <c r="H31">
        <v>3</v>
      </c>
      <c r="I31" s="5">
        <v>19257</v>
      </c>
      <c r="J31" s="5">
        <v>57771</v>
      </c>
      <c r="K31" s="5">
        <v>39216.31</v>
      </c>
      <c r="L31" s="5">
        <v>18554.689999999999</v>
      </c>
      <c r="M31" s="4">
        <f t="shared" si="0"/>
        <v>0.32117654186356476</v>
      </c>
    </row>
    <row r="32" spans="1:13" x14ac:dyDescent="0.35">
      <c r="A32">
        <v>2030</v>
      </c>
      <c r="B32" s="2">
        <v>45537</v>
      </c>
      <c r="C32" t="s">
        <v>34</v>
      </c>
      <c r="D32" t="s">
        <v>13</v>
      </c>
      <c r="E32" t="s">
        <v>14</v>
      </c>
      <c r="F32" t="s">
        <v>15</v>
      </c>
      <c r="G32" t="s">
        <v>35</v>
      </c>
      <c r="H32">
        <v>2</v>
      </c>
      <c r="I32" s="5">
        <v>75676</v>
      </c>
      <c r="J32" s="5">
        <v>151352</v>
      </c>
      <c r="K32" s="5">
        <v>99077.92</v>
      </c>
      <c r="L32" s="5">
        <v>52274.080000000002</v>
      </c>
      <c r="M32" s="4">
        <f t="shared" si="0"/>
        <v>0.34538083408213965</v>
      </c>
    </row>
    <row r="33" spans="1:13" x14ac:dyDescent="0.35">
      <c r="A33">
        <v>2031</v>
      </c>
      <c r="B33" s="2">
        <v>45645</v>
      </c>
      <c r="C33" t="s">
        <v>17</v>
      </c>
      <c r="D33" t="s">
        <v>41</v>
      </c>
      <c r="E33" t="s">
        <v>42</v>
      </c>
      <c r="F33" t="s">
        <v>24</v>
      </c>
      <c r="G33" t="s">
        <v>30</v>
      </c>
      <c r="H33">
        <v>5</v>
      </c>
      <c r="I33" s="5">
        <v>11544</v>
      </c>
      <c r="J33" s="5">
        <v>57720</v>
      </c>
      <c r="K33" s="5">
        <v>46270</v>
      </c>
      <c r="L33" s="5">
        <v>11450</v>
      </c>
      <c r="M33" s="4">
        <f t="shared" si="0"/>
        <v>0.19837144837144838</v>
      </c>
    </row>
    <row r="34" spans="1:13" x14ac:dyDescent="0.35">
      <c r="A34">
        <v>2032</v>
      </c>
      <c r="B34" s="2">
        <v>45648</v>
      </c>
      <c r="C34" t="s">
        <v>34</v>
      </c>
      <c r="D34" t="s">
        <v>13</v>
      </c>
      <c r="E34" t="s">
        <v>39</v>
      </c>
      <c r="F34" t="s">
        <v>24</v>
      </c>
      <c r="G34" t="s">
        <v>25</v>
      </c>
      <c r="H34">
        <v>3</v>
      </c>
      <c r="I34" s="5">
        <v>75947</v>
      </c>
      <c r="J34" s="5">
        <v>227841</v>
      </c>
      <c r="K34" s="5">
        <v>164806.5</v>
      </c>
      <c r="L34" s="5">
        <v>63034.5</v>
      </c>
      <c r="M34" s="4">
        <f t="shared" si="0"/>
        <v>0.27666003923788957</v>
      </c>
    </row>
    <row r="35" spans="1:13" x14ac:dyDescent="0.35">
      <c r="A35">
        <v>2033</v>
      </c>
      <c r="B35" s="2">
        <v>45564</v>
      </c>
      <c r="C35" t="s">
        <v>17</v>
      </c>
      <c r="D35" t="s">
        <v>32</v>
      </c>
      <c r="E35" t="s">
        <v>33</v>
      </c>
      <c r="F35" t="s">
        <v>24</v>
      </c>
      <c r="G35" t="s">
        <v>30</v>
      </c>
      <c r="H35">
        <v>5</v>
      </c>
      <c r="I35" s="5">
        <v>73889</v>
      </c>
      <c r="J35" s="5">
        <v>369445</v>
      </c>
      <c r="K35" s="5">
        <v>264497.87</v>
      </c>
      <c r="L35" s="5">
        <v>104947.13</v>
      </c>
      <c r="M35" s="4">
        <f t="shared" si="0"/>
        <v>0.28406699238046262</v>
      </c>
    </row>
    <row r="36" spans="1:13" x14ac:dyDescent="0.35">
      <c r="A36">
        <v>2034</v>
      </c>
      <c r="B36" s="2">
        <v>45414</v>
      </c>
      <c r="C36" t="s">
        <v>31</v>
      </c>
      <c r="D36" t="s">
        <v>32</v>
      </c>
      <c r="E36" t="s">
        <v>40</v>
      </c>
      <c r="F36" t="s">
        <v>15</v>
      </c>
      <c r="G36" t="s">
        <v>30</v>
      </c>
      <c r="H36">
        <v>4</v>
      </c>
      <c r="I36" s="5">
        <v>37719</v>
      </c>
      <c r="J36" s="5">
        <v>150876</v>
      </c>
      <c r="K36" s="5">
        <v>104101.97</v>
      </c>
      <c r="L36" s="5">
        <v>46774.03</v>
      </c>
      <c r="M36" s="4">
        <f t="shared" si="0"/>
        <v>0.31001637105967816</v>
      </c>
    </row>
    <row r="37" spans="1:13" x14ac:dyDescent="0.35">
      <c r="A37">
        <v>2035</v>
      </c>
      <c r="B37" s="2">
        <v>45306</v>
      </c>
      <c r="C37" t="s">
        <v>17</v>
      </c>
      <c r="D37" t="s">
        <v>22</v>
      </c>
      <c r="E37" t="s">
        <v>37</v>
      </c>
      <c r="F37" t="s">
        <v>24</v>
      </c>
      <c r="G37" t="s">
        <v>38</v>
      </c>
      <c r="H37">
        <v>1</v>
      </c>
      <c r="I37" s="5">
        <v>44623</v>
      </c>
      <c r="J37" s="5">
        <v>44623</v>
      </c>
      <c r="K37" s="5">
        <v>33219.5</v>
      </c>
      <c r="L37" s="5">
        <v>11403.5</v>
      </c>
      <c r="M37" s="4">
        <f t="shared" si="0"/>
        <v>0.25555206956054055</v>
      </c>
    </row>
    <row r="38" spans="1:13" x14ac:dyDescent="0.35">
      <c r="A38">
        <v>2036</v>
      </c>
      <c r="B38" s="2">
        <v>45468</v>
      </c>
      <c r="C38" t="s">
        <v>34</v>
      </c>
      <c r="D38" t="s">
        <v>32</v>
      </c>
      <c r="E38" t="s">
        <v>40</v>
      </c>
      <c r="F38" t="s">
        <v>15</v>
      </c>
      <c r="G38" t="s">
        <v>20</v>
      </c>
      <c r="H38">
        <v>4</v>
      </c>
      <c r="I38" s="5">
        <v>53812</v>
      </c>
      <c r="J38" s="5">
        <v>215248</v>
      </c>
      <c r="K38" s="5">
        <v>181023.6</v>
      </c>
      <c r="L38" s="5">
        <v>34224.400000000001</v>
      </c>
      <c r="M38" s="4">
        <f t="shared" si="0"/>
        <v>0.15899985133427488</v>
      </c>
    </row>
    <row r="39" spans="1:13" x14ac:dyDescent="0.35">
      <c r="A39">
        <v>2037</v>
      </c>
      <c r="B39" s="2">
        <v>45344</v>
      </c>
      <c r="C39" t="s">
        <v>26</v>
      </c>
      <c r="D39" t="s">
        <v>13</v>
      </c>
      <c r="E39" t="s">
        <v>14</v>
      </c>
      <c r="F39" t="s">
        <v>15</v>
      </c>
      <c r="G39" t="s">
        <v>30</v>
      </c>
      <c r="H39">
        <v>2</v>
      </c>
      <c r="I39" s="5">
        <v>69614</v>
      </c>
      <c r="J39" s="5">
        <v>139228</v>
      </c>
      <c r="K39" s="5">
        <v>95975.6</v>
      </c>
      <c r="L39" s="5">
        <v>43252.4</v>
      </c>
      <c r="M39" s="4">
        <f t="shared" si="0"/>
        <v>0.31065877553365706</v>
      </c>
    </row>
    <row r="40" spans="1:13" x14ac:dyDescent="0.35">
      <c r="A40">
        <v>2038</v>
      </c>
      <c r="B40" s="2">
        <v>45604</v>
      </c>
      <c r="C40" t="s">
        <v>21</v>
      </c>
      <c r="D40" t="s">
        <v>32</v>
      </c>
      <c r="E40" t="s">
        <v>40</v>
      </c>
      <c r="F40" t="s">
        <v>15</v>
      </c>
      <c r="G40" t="s">
        <v>20</v>
      </c>
      <c r="H40">
        <v>1</v>
      </c>
      <c r="I40" s="5">
        <v>70845</v>
      </c>
      <c r="J40" s="5">
        <v>70845</v>
      </c>
      <c r="K40" s="5">
        <v>58931.69</v>
      </c>
      <c r="L40" s="5">
        <v>11913.31</v>
      </c>
      <c r="M40" s="4">
        <f t="shared" si="0"/>
        <v>0.16816020890676828</v>
      </c>
    </row>
    <row r="41" spans="1:13" x14ac:dyDescent="0.35">
      <c r="A41">
        <v>2039</v>
      </c>
      <c r="B41" s="2">
        <v>45335</v>
      </c>
      <c r="C41" t="s">
        <v>36</v>
      </c>
      <c r="D41" t="s">
        <v>13</v>
      </c>
      <c r="E41" t="s">
        <v>14</v>
      </c>
      <c r="F41" t="s">
        <v>15</v>
      </c>
      <c r="G41" t="s">
        <v>38</v>
      </c>
      <c r="H41">
        <v>1</v>
      </c>
      <c r="I41" s="5">
        <v>58926</v>
      </c>
      <c r="J41" s="5">
        <v>58926</v>
      </c>
      <c r="K41" s="5">
        <v>47521.5</v>
      </c>
      <c r="L41" s="5">
        <v>11404.5</v>
      </c>
      <c r="M41" s="4">
        <f t="shared" si="0"/>
        <v>0.19353935444455758</v>
      </c>
    </row>
    <row r="42" spans="1:13" x14ac:dyDescent="0.35">
      <c r="A42">
        <v>2040</v>
      </c>
      <c r="B42" s="2">
        <v>45514</v>
      </c>
      <c r="C42" t="s">
        <v>21</v>
      </c>
      <c r="D42" t="s">
        <v>32</v>
      </c>
      <c r="E42" t="s">
        <v>40</v>
      </c>
      <c r="F42" t="s">
        <v>15</v>
      </c>
      <c r="G42" t="s">
        <v>30</v>
      </c>
      <c r="H42">
        <v>3</v>
      </c>
      <c r="I42" s="5">
        <v>19370</v>
      </c>
      <c r="J42" s="5">
        <v>58110</v>
      </c>
      <c r="K42" s="5">
        <v>47078.67</v>
      </c>
      <c r="L42" s="5">
        <v>11031.33</v>
      </c>
      <c r="M42" s="4">
        <f t="shared" si="0"/>
        <v>0.18983531233866804</v>
      </c>
    </row>
    <row r="43" spans="1:13" x14ac:dyDescent="0.35">
      <c r="A43">
        <v>2041</v>
      </c>
      <c r="B43" s="2">
        <v>45335</v>
      </c>
      <c r="C43" t="s">
        <v>21</v>
      </c>
      <c r="D43" t="s">
        <v>22</v>
      </c>
      <c r="E43" t="s">
        <v>23</v>
      </c>
      <c r="F43" t="s">
        <v>24</v>
      </c>
      <c r="G43" t="s">
        <v>16</v>
      </c>
      <c r="H43">
        <v>2</v>
      </c>
      <c r="I43" s="5">
        <v>30282</v>
      </c>
      <c r="J43" s="5">
        <v>60564</v>
      </c>
      <c r="K43" s="5">
        <v>51395.97</v>
      </c>
      <c r="L43" s="5">
        <v>9168.0300000000007</v>
      </c>
      <c r="M43" s="4">
        <f t="shared" si="0"/>
        <v>0.15137755102040817</v>
      </c>
    </row>
    <row r="44" spans="1:13" x14ac:dyDescent="0.35">
      <c r="A44">
        <v>2042</v>
      </c>
      <c r="B44" s="2">
        <v>45530</v>
      </c>
      <c r="C44" t="s">
        <v>12</v>
      </c>
      <c r="D44" t="s">
        <v>18</v>
      </c>
      <c r="E44" t="s">
        <v>43</v>
      </c>
      <c r="F44" t="s">
        <v>24</v>
      </c>
      <c r="G44" t="s">
        <v>20</v>
      </c>
      <c r="H44">
        <v>2</v>
      </c>
      <c r="I44" s="5">
        <v>70174</v>
      </c>
      <c r="J44" s="5">
        <v>140348</v>
      </c>
      <c r="K44" s="5">
        <v>109675.46</v>
      </c>
      <c r="L44" s="5">
        <v>30672.54</v>
      </c>
      <c r="M44" s="4">
        <f t="shared" si="0"/>
        <v>0.21854632769971785</v>
      </c>
    </row>
    <row r="45" spans="1:13" x14ac:dyDescent="0.35">
      <c r="A45">
        <v>2043</v>
      </c>
      <c r="B45" s="2">
        <v>45572</v>
      </c>
      <c r="C45" t="s">
        <v>12</v>
      </c>
      <c r="D45" t="s">
        <v>13</v>
      </c>
      <c r="E45" t="s">
        <v>14</v>
      </c>
      <c r="F45" t="s">
        <v>15</v>
      </c>
      <c r="G45" t="s">
        <v>20</v>
      </c>
      <c r="H45">
        <v>2</v>
      </c>
      <c r="I45" s="5">
        <v>10804</v>
      </c>
      <c r="J45" s="5">
        <v>21608</v>
      </c>
      <c r="K45" s="5">
        <v>14106.75</v>
      </c>
      <c r="L45" s="5">
        <v>7501.25</v>
      </c>
      <c r="M45" s="4">
        <f t="shared" si="0"/>
        <v>0.34715151795631249</v>
      </c>
    </row>
    <row r="46" spans="1:13" x14ac:dyDescent="0.35">
      <c r="A46">
        <v>2044</v>
      </c>
      <c r="B46" s="2">
        <v>45363</v>
      </c>
      <c r="C46" t="s">
        <v>31</v>
      </c>
      <c r="D46" t="s">
        <v>18</v>
      </c>
      <c r="E46" t="s">
        <v>19</v>
      </c>
      <c r="F46" t="s">
        <v>15</v>
      </c>
      <c r="G46" t="s">
        <v>38</v>
      </c>
      <c r="H46">
        <v>4</v>
      </c>
      <c r="I46" s="5">
        <v>33533</v>
      </c>
      <c r="J46" s="5">
        <v>134132</v>
      </c>
      <c r="K46" s="5">
        <v>109348.57</v>
      </c>
      <c r="L46" s="5">
        <v>24783.43</v>
      </c>
      <c r="M46" s="4">
        <f t="shared" si="0"/>
        <v>0.18476895893597353</v>
      </c>
    </row>
    <row r="47" spans="1:13" x14ac:dyDescent="0.35">
      <c r="A47">
        <v>2045</v>
      </c>
      <c r="B47" s="2">
        <v>45400</v>
      </c>
      <c r="C47" t="s">
        <v>26</v>
      </c>
      <c r="D47" t="s">
        <v>32</v>
      </c>
      <c r="E47" t="s">
        <v>40</v>
      </c>
      <c r="F47" t="s">
        <v>15</v>
      </c>
      <c r="G47" t="s">
        <v>35</v>
      </c>
      <c r="H47">
        <v>3</v>
      </c>
      <c r="I47" s="5">
        <v>73688</v>
      </c>
      <c r="J47" s="5">
        <v>221064</v>
      </c>
      <c r="K47" s="5">
        <v>154326.51999999999</v>
      </c>
      <c r="L47" s="5">
        <v>66737.48</v>
      </c>
      <c r="M47" s="4">
        <f t="shared" si="0"/>
        <v>0.30189212173850105</v>
      </c>
    </row>
    <row r="48" spans="1:13" x14ac:dyDescent="0.35">
      <c r="A48">
        <v>2046</v>
      </c>
      <c r="B48" s="2">
        <v>45570</v>
      </c>
      <c r="C48" t="s">
        <v>17</v>
      </c>
      <c r="D48" t="s">
        <v>27</v>
      </c>
      <c r="E48" t="s">
        <v>28</v>
      </c>
      <c r="F48" t="s">
        <v>29</v>
      </c>
      <c r="G48" t="s">
        <v>35</v>
      </c>
      <c r="H48">
        <v>4</v>
      </c>
      <c r="I48" s="5">
        <v>25180</v>
      </c>
      <c r="J48" s="5">
        <v>100720</v>
      </c>
      <c r="K48" s="5">
        <v>66694.86</v>
      </c>
      <c r="L48" s="5">
        <v>34025.14</v>
      </c>
      <c r="M48" s="4">
        <f t="shared" si="0"/>
        <v>0.33781910246227165</v>
      </c>
    </row>
    <row r="49" spans="1:13" x14ac:dyDescent="0.35">
      <c r="A49">
        <v>2047</v>
      </c>
      <c r="B49" s="2">
        <v>45590</v>
      </c>
      <c r="C49" t="s">
        <v>21</v>
      </c>
      <c r="D49" t="s">
        <v>13</v>
      </c>
      <c r="E49" t="s">
        <v>14</v>
      </c>
      <c r="F49" t="s">
        <v>15</v>
      </c>
      <c r="G49" t="s">
        <v>38</v>
      </c>
      <c r="H49">
        <v>5</v>
      </c>
      <c r="I49" s="5">
        <v>63132</v>
      </c>
      <c r="J49" s="5">
        <v>315660</v>
      </c>
      <c r="K49" s="5">
        <v>257397.98</v>
      </c>
      <c r="L49" s="5">
        <v>58262.02</v>
      </c>
      <c r="M49" s="4">
        <f t="shared" si="0"/>
        <v>0.18457207121586516</v>
      </c>
    </row>
    <row r="50" spans="1:13" x14ac:dyDescent="0.35">
      <c r="A50">
        <v>2048</v>
      </c>
      <c r="B50" s="2">
        <v>45369</v>
      </c>
      <c r="C50" t="s">
        <v>12</v>
      </c>
      <c r="D50" t="s">
        <v>41</v>
      </c>
      <c r="E50" t="s">
        <v>42</v>
      </c>
      <c r="F50" t="s">
        <v>24</v>
      </c>
      <c r="G50" t="s">
        <v>20</v>
      </c>
      <c r="H50">
        <v>5</v>
      </c>
      <c r="I50" s="5">
        <v>74918</v>
      </c>
      <c r="J50" s="5">
        <v>374590</v>
      </c>
      <c r="K50" s="5">
        <v>244884.83</v>
      </c>
      <c r="L50" s="5">
        <v>129705.17</v>
      </c>
      <c r="M50" s="4">
        <f t="shared" si="0"/>
        <v>0.34625902987266077</v>
      </c>
    </row>
    <row r="51" spans="1:13" x14ac:dyDescent="0.35">
      <c r="A51">
        <v>2049</v>
      </c>
      <c r="B51" s="2">
        <v>45603</v>
      </c>
      <c r="C51" t="s">
        <v>36</v>
      </c>
      <c r="D51" t="s">
        <v>22</v>
      </c>
      <c r="E51" t="s">
        <v>37</v>
      </c>
      <c r="F51" t="s">
        <v>24</v>
      </c>
      <c r="G51" t="s">
        <v>30</v>
      </c>
      <c r="H51">
        <v>1</v>
      </c>
      <c r="I51" s="5">
        <v>27634</v>
      </c>
      <c r="J51" s="5">
        <v>27634</v>
      </c>
      <c r="K51" s="5">
        <v>18914.63</v>
      </c>
      <c r="L51" s="5">
        <v>8719.3700000000008</v>
      </c>
      <c r="M51" s="4">
        <f t="shared" si="0"/>
        <v>0.31553050589853082</v>
      </c>
    </row>
    <row r="52" spans="1:13" x14ac:dyDescent="0.35">
      <c r="A52">
        <v>2050</v>
      </c>
      <c r="B52" s="2">
        <v>45353</v>
      </c>
      <c r="C52" t="s">
        <v>31</v>
      </c>
      <c r="D52" t="s">
        <v>22</v>
      </c>
      <c r="E52" t="s">
        <v>37</v>
      </c>
      <c r="F52" t="s">
        <v>24</v>
      </c>
      <c r="G52" t="s">
        <v>38</v>
      </c>
      <c r="H52">
        <v>5</v>
      </c>
      <c r="I52" s="5">
        <v>16094</v>
      </c>
      <c r="J52" s="5">
        <v>80470</v>
      </c>
      <c r="K52" s="5">
        <v>57551.86</v>
      </c>
      <c r="L52" s="5">
        <v>22918.14</v>
      </c>
      <c r="M52" s="4">
        <f t="shared" si="0"/>
        <v>0.28480352926556479</v>
      </c>
    </row>
    <row r="53" spans="1:13" x14ac:dyDescent="0.35">
      <c r="A53">
        <v>2051</v>
      </c>
      <c r="B53" s="2">
        <v>45539</v>
      </c>
      <c r="C53" t="s">
        <v>31</v>
      </c>
      <c r="D53" t="s">
        <v>41</v>
      </c>
      <c r="E53" t="s">
        <v>42</v>
      </c>
      <c r="F53" t="s">
        <v>24</v>
      </c>
      <c r="G53" t="s">
        <v>20</v>
      </c>
      <c r="H53">
        <v>1</v>
      </c>
      <c r="I53" s="5">
        <v>15447</v>
      </c>
      <c r="J53" s="5">
        <v>15447</v>
      </c>
      <c r="K53" s="5">
        <v>10808.25</v>
      </c>
      <c r="L53" s="5">
        <v>4638.75</v>
      </c>
      <c r="M53" s="4">
        <f t="shared" si="0"/>
        <v>0.30030102932608271</v>
      </c>
    </row>
    <row r="54" spans="1:13" x14ac:dyDescent="0.35">
      <c r="A54">
        <v>2052</v>
      </c>
      <c r="B54" s="2">
        <v>45551</v>
      </c>
      <c r="C54" t="s">
        <v>26</v>
      </c>
      <c r="D54" t="s">
        <v>13</v>
      </c>
      <c r="E54" t="s">
        <v>39</v>
      </c>
      <c r="F54" t="s">
        <v>24</v>
      </c>
      <c r="G54" t="s">
        <v>25</v>
      </c>
      <c r="H54">
        <v>4</v>
      </c>
      <c r="I54" s="5">
        <v>11652</v>
      </c>
      <c r="J54" s="5">
        <v>46608</v>
      </c>
      <c r="K54" s="5">
        <v>37379.550000000003</v>
      </c>
      <c r="L54" s="5">
        <v>9228.4500000000007</v>
      </c>
      <c r="M54" s="4">
        <f t="shared" si="0"/>
        <v>0.19800141606591146</v>
      </c>
    </row>
    <row r="55" spans="1:13" x14ac:dyDescent="0.35">
      <c r="A55">
        <v>2053</v>
      </c>
      <c r="B55" s="2">
        <v>45605</v>
      </c>
      <c r="C55" t="s">
        <v>21</v>
      </c>
      <c r="D55" t="s">
        <v>18</v>
      </c>
      <c r="E55" t="s">
        <v>19</v>
      </c>
      <c r="F55" t="s">
        <v>15</v>
      </c>
      <c r="G55" t="s">
        <v>35</v>
      </c>
      <c r="H55">
        <v>5</v>
      </c>
      <c r="I55" s="5">
        <v>75130</v>
      </c>
      <c r="J55" s="5">
        <v>375650</v>
      </c>
      <c r="K55" s="5">
        <v>259153.66</v>
      </c>
      <c r="L55" s="5">
        <v>116496.34</v>
      </c>
      <c r="M55" s="4">
        <f t="shared" si="0"/>
        <v>0.31011936643151872</v>
      </c>
    </row>
    <row r="56" spans="1:13" x14ac:dyDescent="0.35">
      <c r="A56">
        <v>2054</v>
      </c>
      <c r="B56" s="2">
        <v>45565</v>
      </c>
      <c r="C56" t="s">
        <v>21</v>
      </c>
      <c r="D56" t="s">
        <v>13</v>
      </c>
      <c r="E56" t="s">
        <v>39</v>
      </c>
      <c r="F56" t="s">
        <v>24</v>
      </c>
      <c r="G56" t="s">
        <v>20</v>
      </c>
      <c r="H56">
        <v>4</v>
      </c>
      <c r="I56" s="5">
        <v>74552</v>
      </c>
      <c r="J56" s="5">
        <v>298208</v>
      </c>
      <c r="K56" s="5">
        <v>249987.83</v>
      </c>
      <c r="L56" s="5">
        <v>48220.17</v>
      </c>
      <c r="M56" s="4">
        <f t="shared" si="0"/>
        <v>0.16169978672604357</v>
      </c>
    </row>
    <row r="57" spans="1:13" x14ac:dyDescent="0.35">
      <c r="A57">
        <v>2055</v>
      </c>
      <c r="B57" s="2">
        <v>45395</v>
      </c>
      <c r="C57" t="s">
        <v>17</v>
      </c>
      <c r="D57" t="s">
        <v>41</v>
      </c>
      <c r="E57" t="s">
        <v>42</v>
      </c>
      <c r="F57" t="s">
        <v>24</v>
      </c>
      <c r="G57" t="s">
        <v>20</v>
      </c>
      <c r="H57">
        <v>4</v>
      </c>
      <c r="I57" s="5">
        <v>25974</v>
      </c>
      <c r="J57" s="5">
        <v>103896</v>
      </c>
      <c r="K57" s="5">
        <v>76189.78</v>
      </c>
      <c r="L57" s="5">
        <v>27706.22</v>
      </c>
      <c r="M57" s="4">
        <f t="shared" si="0"/>
        <v>0.2666726341726342</v>
      </c>
    </row>
    <row r="58" spans="1:13" x14ac:dyDescent="0.35">
      <c r="A58">
        <v>2056</v>
      </c>
      <c r="B58" s="2">
        <v>45329</v>
      </c>
      <c r="C58" t="s">
        <v>21</v>
      </c>
      <c r="D58" t="s">
        <v>22</v>
      </c>
      <c r="E58" t="s">
        <v>23</v>
      </c>
      <c r="F58" t="s">
        <v>24</v>
      </c>
      <c r="G58" t="s">
        <v>35</v>
      </c>
      <c r="H58">
        <v>2</v>
      </c>
      <c r="I58" s="5">
        <v>64143</v>
      </c>
      <c r="J58" s="5">
        <v>128286</v>
      </c>
      <c r="K58" s="5">
        <v>85261.97</v>
      </c>
      <c r="L58" s="5">
        <v>43024.03</v>
      </c>
      <c r="M58" s="4">
        <f t="shared" si="0"/>
        <v>0.33537587889559267</v>
      </c>
    </row>
    <row r="59" spans="1:13" x14ac:dyDescent="0.35">
      <c r="A59">
        <v>2057</v>
      </c>
      <c r="B59" s="2">
        <v>45371</v>
      </c>
      <c r="C59" t="s">
        <v>36</v>
      </c>
      <c r="D59" t="s">
        <v>13</v>
      </c>
      <c r="E59" t="s">
        <v>39</v>
      </c>
      <c r="F59" t="s">
        <v>24</v>
      </c>
      <c r="G59" t="s">
        <v>25</v>
      </c>
      <c r="H59">
        <v>3</v>
      </c>
      <c r="I59" s="5">
        <v>26740</v>
      </c>
      <c r="J59" s="5">
        <v>80220</v>
      </c>
      <c r="K59" s="5">
        <v>56203.86</v>
      </c>
      <c r="L59" s="5">
        <v>24016.14</v>
      </c>
      <c r="M59" s="4">
        <f t="shared" si="0"/>
        <v>0.29937845923709799</v>
      </c>
    </row>
    <row r="60" spans="1:13" x14ac:dyDescent="0.35">
      <c r="A60">
        <v>2058</v>
      </c>
      <c r="B60" s="2">
        <v>45340</v>
      </c>
      <c r="C60" t="s">
        <v>21</v>
      </c>
      <c r="D60" t="s">
        <v>32</v>
      </c>
      <c r="E60" t="s">
        <v>33</v>
      </c>
      <c r="F60" t="s">
        <v>24</v>
      </c>
      <c r="G60" t="s">
        <v>30</v>
      </c>
      <c r="H60">
        <v>4</v>
      </c>
      <c r="I60" s="5">
        <v>71866</v>
      </c>
      <c r="J60" s="5">
        <v>287464</v>
      </c>
      <c r="K60" s="5">
        <v>196211.15</v>
      </c>
      <c r="L60" s="5">
        <v>91252.85</v>
      </c>
      <c r="M60" s="4">
        <f t="shared" si="0"/>
        <v>0.31744096652102527</v>
      </c>
    </row>
    <row r="61" spans="1:13" x14ac:dyDescent="0.35">
      <c r="A61">
        <v>2059</v>
      </c>
      <c r="B61" s="2">
        <v>45512</v>
      </c>
      <c r="C61" t="s">
        <v>12</v>
      </c>
      <c r="D61" t="s">
        <v>32</v>
      </c>
      <c r="E61" t="s">
        <v>40</v>
      </c>
      <c r="F61" t="s">
        <v>15</v>
      </c>
      <c r="G61" t="s">
        <v>38</v>
      </c>
      <c r="H61">
        <v>5</v>
      </c>
      <c r="I61" s="5">
        <v>60928</v>
      </c>
      <c r="J61" s="5">
        <v>304640</v>
      </c>
      <c r="K61" s="5">
        <v>218677.67</v>
      </c>
      <c r="L61" s="5">
        <v>85962.33</v>
      </c>
      <c r="M61" s="4">
        <f t="shared" si="0"/>
        <v>0.28217676601890757</v>
      </c>
    </row>
    <row r="62" spans="1:13" x14ac:dyDescent="0.35">
      <c r="A62">
        <v>2060</v>
      </c>
      <c r="B62" s="2">
        <v>45339</v>
      </c>
      <c r="C62" t="s">
        <v>17</v>
      </c>
      <c r="D62" t="s">
        <v>32</v>
      </c>
      <c r="E62" t="s">
        <v>40</v>
      </c>
      <c r="F62" t="s">
        <v>15</v>
      </c>
      <c r="G62" t="s">
        <v>35</v>
      </c>
      <c r="H62">
        <v>3</v>
      </c>
      <c r="I62" s="5">
        <v>10553</v>
      </c>
      <c r="J62" s="5">
        <v>31659</v>
      </c>
      <c r="K62" s="5">
        <v>22718.37</v>
      </c>
      <c r="L62" s="5">
        <v>8940.6299999999992</v>
      </c>
      <c r="M62" s="4">
        <f t="shared" si="0"/>
        <v>0.28240405571875293</v>
      </c>
    </row>
    <row r="63" spans="1:13" x14ac:dyDescent="0.35">
      <c r="A63">
        <v>2061</v>
      </c>
      <c r="B63" s="2">
        <v>45301</v>
      </c>
      <c r="C63" t="s">
        <v>21</v>
      </c>
      <c r="D63" t="s">
        <v>22</v>
      </c>
      <c r="E63" t="s">
        <v>37</v>
      </c>
      <c r="F63" t="s">
        <v>24</v>
      </c>
      <c r="G63" t="s">
        <v>38</v>
      </c>
      <c r="H63">
        <v>4</v>
      </c>
      <c r="I63" s="5">
        <v>51450</v>
      </c>
      <c r="J63" s="5">
        <v>205800</v>
      </c>
      <c r="K63" s="5">
        <v>155067.57999999999</v>
      </c>
      <c r="L63" s="5">
        <v>50732.42</v>
      </c>
      <c r="M63" s="4">
        <f t="shared" si="0"/>
        <v>0.24651321671525753</v>
      </c>
    </row>
    <row r="64" spans="1:13" x14ac:dyDescent="0.35">
      <c r="A64">
        <v>2062</v>
      </c>
      <c r="B64" s="2">
        <v>45349</v>
      </c>
      <c r="C64" t="s">
        <v>31</v>
      </c>
      <c r="D64" t="s">
        <v>13</v>
      </c>
      <c r="E64" t="s">
        <v>39</v>
      </c>
      <c r="F64" t="s">
        <v>24</v>
      </c>
      <c r="G64" t="s">
        <v>25</v>
      </c>
      <c r="H64">
        <v>2</v>
      </c>
      <c r="I64" s="5">
        <v>21733</v>
      </c>
      <c r="J64" s="5">
        <v>43466</v>
      </c>
      <c r="K64" s="5">
        <v>28983.66</v>
      </c>
      <c r="L64" s="5">
        <v>14482.34</v>
      </c>
      <c r="M64" s="4">
        <f t="shared" si="0"/>
        <v>0.33318777895366491</v>
      </c>
    </row>
    <row r="65" spans="1:13" x14ac:dyDescent="0.35">
      <c r="A65">
        <v>2063</v>
      </c>
      <c r="B65" s="2">
        <v>45430</v>
      </c>
      <c r="C65" t="s">
        <v>26</v>
      </c>
      <c r="D65" t="s">
        <v>13</v>
      </c>
      <c r="E65" t="s">
        <v>39</v>
      </c>
      <c r="F65" t="s">
        <v>24</v>
      </c>
      <c r="G65" t="s">
        <v>30</v>
      </c>
      <c r="H65">
        <v>2</v>
      </c>
      <c r="I65" s="5">
        <v>63345</v>
      </c>
      <c r="J65" s="5">
        <v>126690</v>
      </c>
      <c r="K65" s="5">
        <v>103875.36</v>
      </c>
      <c r="L65" s="5">
        <v>22814.639999999999</v>
      </c>
      <c r="M65" s="4">
        <f t="shared" si="0"/>
        <v>0.18008240587260241</v>
      </c>
    </row>
    <row r="66" spans="1:13" x14ac:dyDescent="0.35">
      <c r="A66">
        <v>2064</v>
      </c>
      <c r="B66" s="2">
        <v>45566</v>
      </c>
      <c r="C66" t="s">
        <v>21</v>
      </c>
      <c r="D66" t="s">
        <v>13</v>
      </c>
      <c r="E66" t="s">
        <v>39</v>
      </c>
      <c r="F66" t="s">
        <v>24</v>
      </c>
      <c r="G66" t="s">
        <v>30</v>
      </c>
      <c r="H66">
        <v>5</v>
      </c>
      <c r="I66" s="5">
        <v>72829</v>
      </c>
      <c r="J66" s="5">
        <v>364145</v>
      </c>
      <c r="K66" s="5">
        <v>287704.95</v>
      </c>
      <c r="L66" s="5">
        <v>76440.05</v>
      </c>
      <c r="M66" s="4">
        <f t="shared" si="0"/>
        <v>0.20991651677216494</v>
      </c>
    </row>
    <row r="67" spans="1:13" x14ac:dyDescent="0.35">
      <c r="A67">
        <v>2065</v>
      </c>
      <c r="B67" s="2">
        <v>45644</v>
      </c>
      <c r="C67" t="s">
        <v>17</v>
      </c>
      <c r="D67" t="s">
        <v>18</v>
      </c>
      <c r="E67" t="s">
        <v>19</v>
      </c>
      <c r="F67" t="s">
        <v>15</v>
      </c>
      <c r="G67" t="s">
        <v>25</v>
      </c>
      <c r="H67">
        <v>2</v>
      </c>
      <c r="I67" s="5">
        <v>63747</v>
      </c>
      <c r="J67" s="5">
        <v>127494</v>
      </c>
      <c r="K67" s="5">
        <v>105699.8</v>
      </c>
      <c r="L67" s="5">
        <v>21794.2</v>
      </c>
      <c r="M67" s="4">
        <f t="shared" ref="M67:M130" si="1">L67/J67</f>
        <v>0.17094294633472948</v>
      </c>
    </row>
    <row r="68" spans="1:13" x14ac:dyDescent="0.35">
      <c r="A68">
        <v>2066</v>
      </c>
      <c r="B68" s="2">
        <v>45337</v>
      </c>
      <c r="C68" t="s">
        <v>26</v>
      </c>
      <c r="D68" t="s">
        <v>13</v>
      </c>
      <c r="E68" t="s">
        <v>39</v>
      </c>
      <c r="F68" t="s">
        <v>24</v>
      </c>
      <c r="G68" t="s">
        <v>38</v>
      </c>
      <c r="H68">
        <v>3</v>
      </c>
      <c r="I68" s="5">
        <v>18976</v>
      </c>
      <c r="J68" s="5">
        <v>56928</v>
      </c>
      <c r="K68" s="5">
        <v>43927.66</v>
      </c>
      <c r="L68" s="5">
        <v>13000.34</v>
      </c>
      <c r="M68" s="4">
        <f t="shared" si="1"/>
        <v>0.22836460089938168</v>
      </c>
    </row>
    <row r="69" spans="1:13" x14ac:dyDescent="0.35">
      <c r="A69">
        <v>2067</v>
      </c>
      <c r="B69" s="2">
        <v>45354</v>
      </c>
      <c r="C69" t="s">
        <v>26</v>
      </c>
      <c r="D69" t="s">
        <v>32</v>
      </c>
      <c r="E69" t="s">
        <v>40</v>
      </c>
      <c r="F69" t="s">
        <v>15</v>
      </c>
      <c r="G69" t="s">
        <v>35</v>
      </c>
      <c r="H69">
        <v>4</v>
      </c>
      <c r="I69" s="5">
        <v>9513</v>
      </c>
      <c r="J69" s="5">
        <v>38052</v>
      </c>
      <c r="K69" s="5">
        <v>27314.880000000001</v>
      </c>
      <c r="L69" s="5">
        <v>10737.12</v>
      </c>
      <c r="M69" s="4">
        <f t="shared" si="1"/>
        <v>0.28216966256701359</v>
      </c>
    </row>
    <row r="70" spans="1:13" x14ac:dyDescent="0.35">
      <c r="A70">
        <v>2068</v>
      </c>
      <c r="B70" s="2">
        <v>45610</v>
      </c>
      <c r="C70" t="s">
        <v>21</v>
      </c>
      <c r="D70" t="s">
        <v>41</v>
      </c>
      <c r="E70" t="s">
        <v>42</v>
      </c>
      <c r="F70" t="s">
        <v>24</v>
      </c>
      <c r="G70" t="s">
        <v>35</v>
      </c>
      <c r="H70">
        <v>2</v>
      </c>
      <c r="I70" s="5">
        <v>13663</v>
      </c>
      <c r="J70" s="5">
        <v>27326</v>
      </c>
      <c r="K70" s="5">
        <v>20641.599999999999</v>
      </c>
      <c r="L70" s="5">
        <v>6684.4</v>
      </c>
      <c r="M70" s="4">
        <f t="shared" si="1"/>
        <v>0.24461684842274756</v>
      </c>
    </row>
    <row r="71" spans="1:13" x14ac:dyDescent="0.35">
      <c r="A71">
        <v>2069</v>
      </c>
      <c r="B71" s="2">
        <v>45426</v>
      </c>
      <c r="C71" t="s">
        <v>26</v>
      </c>
      <c r="D71" t="s">
        <v>32</v>
      </c>
      <c r="E71" t="s">
        <v>40</v>
      </c>
      <c r="F71" t="s">
        <v>15</v>
      </c>
      <c r="G71" t="s">
        <v>30</v>
      </c>
      <c r="H71">
        <v>1</v>
      </c>
      <c r="I71" s="5">
        <v>31743</v>
      </c>
      <c r="J71" s="5">
        <v>31743</v>
      </c>
      <c r="K71" s="5">
        <v>21913.9</v>
      </c>
      <c r="L71" s="5">
        <v>9829.1</v>
      </c>
      <c r="M71" s="4">
        <f t="shared" si="1"/>
        <v>0.30964622121412594</v>
      </c>
    </row>
    <row r="72" spans="1:13" x14ac:dyDescent="0.35">
      <c r="A72">
        <v>2070</v>
      </c>
      <c r="B72" s="2">
        <v>45563</v>
      </c>
      <c r="C72" t="s">
        <v>34</v>
      </c>
      <c r="D72" t="s">
        <v>13</v>
      </c>
      <c r="E72" t="s">
        <v>39</v>
      </c>
      <c r="F72" t="s">
        <v>24</v>
      </c>
      <c r="G72" t="s">
        <v>35</v>
      </c>
      <c r="H72">
        <v>2</v>
      </c>
      <c r="I72" s="5">
        <v>46005</v>
      </c>
      <c r="J72" s="5">
        <v>92010</v>
      </c>
      <c r="K72" s="5">
        <v>68008.03</v>
      </c>
      <c r="L72" s="5">
        <v>24001.97</v>
      </c>
      <c r="M72" s="4">
        <f t="shared" si="1"/>
        <v>0.26086262362786655</v>
      </c>
    </row>
    <row r="73" spans="1:13" x14ac:dyDescent="0.35">
      <c r="A73">
        <v>2071</v>
      </c>
      <c r="B73" s="2">
        <v>45301</v>
      </c>
      <c r="C73" t="s">
        <v>17</v>
      </c>
      <c r="D73" t="s">
        <v>32</v>
      </c>
      <c r="E73" t="s">
        <v>33</v>
      </c>
      <c r="F73" t="s">
        <v>24</v>
      </c>
      <c r="G73" t="s">
        <v>35</v>
      </c>
      <c r="H73">
        <v>3</v>
      </c>
      <c r="I73" s="5">
        <v>12843</v>
      </c>
      <c r="J73" s="5">
        <v>38529</v>
      </c>
      <c r="K73" s="5">
        <v>25162.1</v>
      </c>
      <c r="L73" s="5">
        <v>13366.9</v>
      </c>
      <c r="M73" s="4">
        <f t="shared" si="1"/>
        <v>0.34693088323081317</v>
      </c>
    </row>
    <row r="74" spans="1:13" x14ac:dyDescent="0.35">
      <c r="A74">
        <v>2072</v>
      </c>
      <c r="B74" s="2">
        <v>45555</v>
      </c>
      <c r="C74" t="s">
        <v>31</v>
      </c>
      <c r="D74" t="s">
        <v>41</v>
      </c>
      <c r="E74" t="s">
        <v>42</v>
      </c>
      <c r="F74" t="s">
        <v>24</v>
      </c>
      <c r="G74" t="s">
        <v>30</v>
      </c>
      <c r="H74">
        <v>4</v>
      </c>
      <c r="I74" s="5">
        <v>40201</v>
      </c>
      <c r="J74" s="5">
        <v>160804</v>
      </c>
      <c r="K74" s="5">
        <v>134581.46</v>
      </c>
      <c r="L74" s="5">
        <v>26222.54</v>
      </c>
      <c r="M74" s="4">
        <f t="shared" si="1"/>
        <v>0.16307144100893012</v>
      </c>
    </row>
    <row r="75" spans="1:13" x14ac:dyDescent="0.35">
      <c r="A75">
        <v>2073</v>
      </c>
      <c r="B75" s="2">
        <v>45513</v>
      </c>
      <c r="C75" t="s">
        <v>34</v>
      </c>
      <c r="D75" t="s">
        <v>18</v>
      </c>
      <c r="E75" t="s">
        <v>19</v>
      </c>
      <c r="F75" t="s">
        <v>15</v>
      </c>
      <c r="G75" t="s">
        <v>38</v>
      </c>
      <c r="H75">
        <v>4</v>
      </c>
      <c r="I75" s="5">
        <v>79553</v>
      </c>
      <c r="J75" s="5">
        <v>318212</v>
      </c>
      <c r="K75" s="5">
        <v>259954.63</v>
      </c>
      <c r="L75" s="5">
        <v>58257.37</v>
      </c>
      <c r="M75" s="4">
        <f t="shared" si="1"/>
        <v>0.18307722524606238</v>
      </c>
    </row>
    <row r="76" spans="1:13" x14ac:dyDescent="0.35">
      <c r="A76">
        <v>2074</v>
      </c>
      <c r="B76" s="2">
        <v>45644</v>
      </c>
      <c r="C76" t="s">
        <v>31</v>
      </c>
      <c r="D76" t="s">
        <v>22</v>
      </c>
      <c r="E76" t="s">
        <v>23</v>
      </c>
      <c r="F76" t="s">
        <v>24</v>
      </c>
      <c r="G76" t="s">
        <v>35</v>
      </c>
      <c r="H76">
        <v>2</v>
      </c>
      <c r="I76" s="5">
        <v>38089</v>
      </c>
      <c r="J76" s="5">
        <v>76178</v>
      </c>
      <c r="K76" s="5">
        <v>54737.01</v>
      </c>
      <c r="L76" s="5">
        <v>21440.99</v>
      </c>
      <c r="M76" s="4">
        <f t="shared" si="1"/>
        <v>0.28145908267478803</v>
      </c>
    </row>
    <row r="77" spans="1:13" x14ac:dyDescent="0.35">
      <c r="A77">
        <v>2075</v>
      </c>
      <c r="B77" s="2">
        <v>45319</v>
      </c>
      <c r="C77" t="s">
        <v>21</v>
      </c>
      <c r="D77" t="s">
        <v>32</v>
      </c>
      <c r="E77" t="s">
        <v>33</v>
      </c>
      <c r="F77" t="s">
        <v>24</v>
      </c>
      <c r="G77" t="s">
        <v>35</v>
      </c>
      <c r="H77">
        <v>2</v>
      </c>
      <c r="I77" s="5">
        <v>9868</v>
      </c>
      <c r="J77" s="5">
        <v>19736</v>
      </c>
      <c r="K77" s="5">
        <v>13107.56</v>
      </c>
      <c r="L77" s="5">
        <v>6628.44</v>
      </c>
      <c r="M77" s="4">
        <f t="shared" si="1"/>
        <v>0.33585528982569923</v>
      </c>
    </row>
    <row r="78" spans="1:13" x14ac:dyDescent="0.35">
      <c r="A78">
        <v>2076</v>
      </c>
      <c r="B78" s="2">
        <v>45320</v>
      </c>
      <c r="C78" t="s">
        <v>21</v>
      </c>
      <c r="D78" t="s">
        <v>13</v>
      </c>
      <c r="E78" t="s">
        <v>39</v>
      </c>
      <c r="F78" t="s">
        <v>24</v>
      </c>
      <c r="G78" t="s">
        <v>30</v>
      </c>
      <c r="H78">
        <v>1</v>
      </c>
      <c r="I78" s="5">
        <v>57922</v>
      </c>
      <c r="J78" s="5">
        <v>57922</v>
      </c>
      <c r="K78" s="5">
        <v>47733.96</v>
      </c>
      <c r="L78" s="5">
        <v>10188.040000000001</v>
      </c>
      <c r="M78" s="4">
        <f t="shared" si="1"/>
        <v>0.175892407030144</v>
      </c>
    </row>
    <row r="79" spans="1:13" x14ac:dyDescent="0.35">
      <c r="A79">
        <v>2077</v>
      </c>
      <c r="B79" s="2">
        <v>45646</v>
      </c>
      <c r="C79" t="s">
        <v>31</v>
      </c>
      <c r="D79" t="s">
        <v>13</v>
      </c>
      <c r="E79" t="s">
        <v>39</v>
      </c>
      <c r="F79" t="s">
        <v>24</v>
      </c>
      <c r="G79" t="s">
        <v>30</v>
      </c>
      <c r="H79">
        <v>3</v>
      </c>
      <c r="I79" s="5">
        <v>13929</v>
      </c>
      <c r="J79" s="5">
        <v>41787</v>
      </c>
      <c r="K79" s="5">
        <v>31001.38</v>
      </c>
      <c r="L79" s="5">
        <v>10785.62</v>
      </c>
      <c r="M79" s="4">
        <f t="shared" si="1"/>
        <v>0.25810945987986694</v>
      </c>
    </row>
    <row r="80" spans="1:13" x14ac:dyDescent="0.35">
      <c r="A80">
        <v>2078</v>
      </c>
      <c r="B80" s="2">
        <v>45293</v>
      </c>
      <c r="C80" t="s">
        <v>17</v>
      </c>
      <c r="D80" t="s">
        <v>32</v>
      </c>
      <c r="E80" t="s">
        <v>33</v>
      </c>
      <c r="F80" t="s">
        <v>24</v>
      </c>
      <c r="G80" t="s">
        <v>16</v>
      </c>
      <c r="H80">
        <v>3</v>
      </c>
      <c r="I80" s="5">
        <v>55728</v>
      </c>
      <c r="J80" s="5">
        <v>167184</v>
      </c>
      <c r="K80" s="5">
        <v>140828.66</v>
      </c>
      <c r="L80" s="5">
        <v>26355.34</v>
      </c>
      <c r="M80" s="4">
        <f t="shared" si="1"/>
        <v>0.15764271700641211</v>
      </c>
    </row>
    <row r="81" spans="1:13" x14ac:dyDescent="0.35">
      <c r="A81">
        <v>2079</v>
      </c>
      <c r="B81" s="2">
        <v>45309</v>
      </c>
      <c r="C81" t="s">
        <v>17</v>
      </c>
      <c r="D81" t="s">
        <v>41</v>
      </c>
      <c r="E81" t="s">
        <v>42</v>
      </c>
      <c r="F81" t="s">
        <v>24</v>
      </c>
      <c r="G81" t="s">
        <v>30</v>
      </c>
      <c r="H81">
        <v>3</v>
      </c>
      <c r="I81" s="5">
        <v>36556</v>
      </c>
      <c r="J81" s="5">
        <v>109668</v>
      </c>
      <c r="K81" s="5">
        <v>79105.37</v>
      </c>
      <c r="L81" s="5">
        <v>30562.63</v>
      </c>
      <c r="M81" s="4">
        <f t="shared" si="1"/>
        <v>0.278683207498997</v>
      </c>
    </row>
    <row r="82" spans="1:13" x14ac:dyDescent="0.35">
      <c r="A82">
        <v>2080</v>
      </c>
      <c r="B82" s="2">
        <v>45334</v>
      </c>
      <c r="C82" t="s">
        <v>17</v>
      </c>
      <c r="D82" t="s">
        <v>18</v>
      </c>
      <c r="E82" t="s">
        <v>43</v>
      </c>
      <c r="F82" t="s">
        <v>24</v>
      </c>
      <c r="G82" t="s">
        <v>16</v>
      </c>
      <c r="H82">
        <v>4</v>
      </c>
      <c r="I82" s="5">
        <v>44559</v>
      </c>
      <c r="J82" s="5">
        <v>178236</v>
      </c>
      <c r="K82" s="5">
        <v>133775.53</v>
      </c>
      <c r="L82" s="5">
        <v>44460.47</v>
      </c>
      <c r="M82" s="4">
        <f t="shared" si="1"/>
        <v>0.24944719360847417</v>
      </c>
    </row>
    <row r="83" spans="1:13" x14ac:dyDescent="0.35">
      <c r="A83">
        <v>2081</v>
      </c>
      <c r="B83" s="2">
        <v>45294</v>
      </c>
      <c r="C83" t="s">
        <v>12</v>
      </c>
      <c r="D83" t="s">
        <v>32</v>
      </c>
      <c r="E83" t="s">
        <v>40</v>
      </c>
      <c r="F83" t="s">
        <v>15</v>
      </c>
      <c r="G83" t="s">
        <v>20</v>
      </c>
      <c r="H83">
        <v>1</v>
      </c>
      <c r="I83" s="5">
        <v>42625</v>
      </c>
      <c r="J83" s="5">
        <v>42625</v>
      </c>
      <c r="K83" s="5">
        <v>34671.550000000003</v>
      </c>
      <c r="L83" s="5">
        <v>7953.45</v>
      </c>
      <c r="M83" s="4">
        <f t="shared" si="1"/>
        <v>0.18659120234604104</v>
      </c>
    </row>
    <row r="84" spans="1:13" x14ac:dyDescent="0.35">
      <c r="A84">
        <v>2082</v>
      </c>
      <c r="B84" s="2">
        <v>45313</v>
      </c>
      <c r="C84" t="s">
        <v>21</v>
      </c>
      <c r="D84" t="s">
        <v>32</v>
      </c>
      <c r="E84" t="s">
        <v>33</v>
      </c>
      <c r="F84" t="s">
        <v>24</v>
      </c>
      <c r="G84" t="s">
        <v>20</v>
      </c>
      <c r="H84">
        <v>4</v>
      </c>
      <c r="I84" s="5">
        <v>10948</v>
      </c>
      <c r="J84" s="5">
        <v>43792</v>
      </c>
      <c r="K84" s="5">
        <v>31089.22</v>
      </c>
      <c r="L84" s="5">
        <v>12702.78</v>
      </c>
      <c r="M84" s="4">
        <f t="shared" si="1"/>
        <v>0.29007078918523932</v>
      </c>
    </row>
    <row r="85" spans="1:13" x14ac:dyDescent="0.35">
      <c r="A85">
        <v>2083</v>
      </c>
      <c r="B85" s="2">
        <v>45562</v>
      </c>
      <c r="C85" t="s">
        <v>26</v>
      </c>
      <c r="D85" t="s">
        <v>32</v>
      </c>
      <c r="E85" t="s">
        <v>40</v>
      </c>
      <c r="F85" t="s">
        <v>15</v>
      </c>
      <c r="G85" t="s">
        <v>20</v>
      </c>
      <c r="H85">
        <v>2</v>
      </c>
      <c r="I85" s="5">
        <v>59054</v>
      </c>
      <c r="J85" s="5">
        <v>118108</v>
      </c>
      <c r="K85" s="5">
        <v>94824.46</v>
      </c>
      <c r="L85" s="5">
        <v>23283.54</v>
      </c>
      <c r="M85" s="4">
        <f t="shared" si="1"/>
        <v>0.19713770447387138</v>
      </c>
    </row>
    <row r="86" spans="1:13" x14ac:dyDescent="0.35">
      <c r="A86">
        <v>2084</v>
      </c>
      <c r="B86" s="2">
        <v>45608</v>
      </c>
      <c r="C86" t="s">
        <v>12</v>
      </c>
      <c r="D86" t="s">
        <v>22</v>
      </c>
      <c r="E86" t="s">
        <v>37</v>
      </c>
      <c r="F86" t="s">
        <v>24</v>
      </c>
      <c r="G86" t="s">
        <v>35</v>
      </c>
      <c r="H86">
        <v>2</v>
      </c>
      <c r="I86" s="5">
        <v>13739</v>
      </c>
      <c r="J86" s="5">
        <v>27478</v>
      </c>
      <c r="K86" s="5">
        <v>22393.78</v>
      </c>
      <c r="L86" s="5">
        <v>5084.22</v>
      </c>
      <c r="M86" s="4">
        <f t="shared" si="1"/>
        <v>0.18502875027294563</v>
      </c>
    </row>
    <row r="87" spans="1:13" x14ac:dyDescent="0.35">
      <c r="A87">
        <v>2085</v>
      </c>
      <c r="B87" s="2">
        <v>45650</v>
      </c>
      <c r="C87" t="s">
        <v>34</v>
      </c>
      <c r="D87" t="s">
        <v>41</v>
      </c>
      <c r="E87" t="s">
        <v>42</v>
      </c>
      <c r="F87" t="s">
        <v>24</v>
      </c>
      <c r="G87" t="s">
        <v>16</v>
      </c>
      <c r="H87">
        <v>5</v>
      </c>
      <c r="I87" s="5">
        <v>26259</v>
      </c>
      <c r="J87" s="5">
        <v>131295</v>
      </c>
      <c r="K87" s="5">
        <v>109234.49</v>
      </c>
      <c r="L87" s="5">
        <v>22060.51</v>
      </c>
      <c r="M87" s="4">
        <f t="shared" si="1"/>
        <v>0.16802246848699492</v>
      </c>
    </row>
    <row r="88" spans="1:13" x14ac:dyDescent="0.35">
      <c r="A88">
        <v>2086</v>
      </c>
      <c r="B88" s="2">
        <v>45643</v>
      </c>
      <c r="C88" t="s">
        <v>31</v>
      </c>
      <c r="D88" t="s">
        <v>41</v>
      </c>
      <c r="E88" t="s">
        <v>42</v>
      </c>
      <c r="F88" t="s">
        <v>24</v>
      </c>
      <c r="G88" t="s">
        <v>25</v>
      </c>
      <c r="H88">
        <v>5</v>
      </c>
      <c r="I88" s="5">
        <v>38138</v>
      </c>
      <c r="J88" s="5">
        <v>190690</v>
      </c>
      <c r="K88" s="5">
        <v>127193.73</v>
      </c>
      <c r="L88" s="5">
        <v>63496.27</v>
      </c>
      <c r="M88" s="4">
        <f t="shared" si="1"/>
        <v>0.33298164560281085</v>
      </c>
    </row>
    <row r="89" spans="1:13" x14ac:dyDescent="0.35">
      <c r="A89">
        <v>2087</v>
      </c>
      <c r="B89" s="2">
        <v>45476</v>
      </c>
      <c r="C89" t="s">
        <v>12</v>
      </c>
      <c r="D89" t="s">
        <v>18</v>
      </c>
      <c r="E89" t="s">
        <v>43</v>
      </c>
      <c r="F89" t="s">
        <v>24</v>
      </c>
      <c r="G89" t="s">
        <v>38</v>
      </c>
      <c r="H89">
        <v>1</v>
      </c>
      <c r="I89" s="5">
        <v>57364</v>
      </c>
      <c r="J89" s="5">
        <v>57364</v>
      </c>
      <c r="K89" s="5">
        <v>46875.81</v>
      </c>
      <c r="L89" s="5">
        <v>10488.19</v>
      </c>
      <c r="M89" s="4">
        <f t="shared" si="1"/>
        <v>0.18283575064500385</v>
      </c>
    </row>
    <row r="90" spans="1:13" x14ac:dyDescent="0.35">
      <c r="A90">
        <v>2088</v>
      </c>
      <c r="B90" s="2">
        <v>45301</v>
      </c>
      <c r="C90" t="s">
        <v>26</v>
      </c>
      <c r="D90" t="s">
        <v>41</v>
      </c>
      <c r="E90" t="s">
        <v>42</v>
      </c>
      <c r="F90" t="s">
        <v>24</v>
      </c>
      <c r="G90" t="s">
        <v>38</v>
      </c>
      <c r="H90">
        <v>5</v>
      </c>
      <c r="I90" s="5">
        <v>40054</v>
      </c>
      <c r="J90" s="5">
        <v>200270</v>
      </c>
      <c r="K90" s="5">
        <v>149773.69</v>
      </c>
      <c r="L90" s="5">
        <v>50496.31</v>
      </c>
      <c r="M90" s="4">
        <f t="shared" si="1"/>
        <v>0.25214115943476306</v>
      </c>
    </row>
    <row r="91" spans="1:13" x14ac:dyDescent="0.35">
      <c r="A91">
        <v>2089</v>
      </c>
      <c r="B91" s="2">
        <v>45549</v>
      </c>
      <c r="C91" t="s">
        <v>21</v>
      </c>
      <c r="D91" t="s">
        <v>18</v>
      </c>
      <c r="E91" t="s">
        <v>43</v>
      </c>
      <c r="F91" t="s">
        <v>24</v>
      </c>
      <c r="G91" t="s">
        <v>25</v>
      </c>
      <c r="H91">
        <v>5</v>
      </c>
      <c r="I91" s="5">
        <v>20051</v>
      </c>
      <c r="J91" s="5">
        <v>100255</v>
      </c>
      <c r="K91" s="5">
        <v>78385.36</v>
      </c>
      <c r="L91" s="5">
        <v>21869.64</v>
      </c>
      <c r="M91" s="4">
        <f t="shared" si="1"/>
        <v>0.21814014263627748</v>
      </c>
    </row>
    <row r="92" spans="1:13" x14ac:dyDescent="0.35">
      <c r="A92">
        <v>2090</v>
      </c>
      <c r="B92" s="2">
        <v>45534</v>
      </c>
      <c r="C92" t="s">
        <v>34</v>
      </c>
      <c r="D92" t="s">
        <v>18</v>
      </c>
      <c r="E92" t="s">
        <v>19</v>
      </c>
      <c r="F92" t="s">
        <v>15</v>
      </c>
      <c r="G92" t="s">
        <v>38</v>
      </c>
      <c r="H92">
        <v>3</v>
      </c>
      <c r="I92" s="5">
        <v>17758</v>
      </c>
      <c r="J92" s="5">
        <v>53274</v>
      </c>
      <c r="K92" s="5">
        <v>43643.48</v>
      </c>
      <c r="L92" s="5">
        <v>9630.52</v>
      </c>
      <c r="M92" s="4">
        <f t="shared" si="1"/>
        <v>0.1807733603634043</v>
      </c>
    </row>
    <row r="93" spans="1:13" x14ac:dyDescent="0.35">
      <c r="A93">
        <v>2091</v>
      </c>
      <c r="B93" s="2">
        <v>45410</v>
      </c>
      <c r="C93" t="s">
        <v>34</v>
      </c>
      <c r="D93" t="s">
        <v>32</v>
      </c>
      <c r="E93" t="s">
        <v>40</v>
      </c>
      <c r="F93" t="s">
        <v>15</v>
      </c>
      <c r="G93" t="s">
        <v>30</v>
      </c>
      <c r="H93">
        <v>4</v>
      </c>
      <c r="I93" s="5">
        <v>72742</v>
      </c>
      <c r="J93" s="5">
        <v>290968</v>
      </c>
      <c r="K93" s="5">
        <v>238333.71</v>
      </c>
      <c r="L93" s="5">
        <v>52634.29</v>
      </c>
      <c r="M93" s="4">
        <f t="shared" si="1"/>
        <v>0.18089374089246929</v>
      </c>
    </row>
    <row r="94" spans="1:13" x14ac:dyDescent="0.35">
      <c r="A94">
        <v>2092</v>
      </c>
      <c r="B94" s="2">
        <v>45439</v>
      </c>
      <c r="C94" t="s">
        <v>21</v>
      </c>
      <c r="D94" t="s">
        <v>18</v>
      </c>
      <c r="E94" t="s">
        <v>19</v>
      </c>
      <c r="F94" t="s">
        <v>15</v>
      </c>
      <c r="G94" t="s">
        <v>38</v>
      </c>
      <c r="H94">
        <v>1</v>
      </c>
      <c r="I94" s="5">
        <v>33990</v>
      </c>
      <c r="J94" s="5">
        <v>33990</v>
      </c>
      <c r="K94" s="5">
        <v>22620.15</v>
      </c>
      <c r="L94" s="5">
        <v>11369.85</v>
      </c>
      <c r="M94" s="4">
        <f t="shared" si="1"/>
        <v>0.33450573698146513</v>
      </c>
    </row>
    <row r="95" spans="1:13" x14ac:dyDescent="0.35">
      <c r="A95">
        <v>2093</v>
      </c>
      <c r="B95" s="2">
        <v>45625</v>
      </c>
      <c r="C95" t="s">
        <v>17</v>
      </c>
      <c r="D95" t="s">
        <v>32</v>
      </c>
      <c r="E95" t="s">
        <v>33</v>
      </c>
      <c r="F95" t="s">
        <v>24</v>
      </c>
      <c r="G95" t="s">
        <v>35</v>
      </c>
      <c r="H95">
        <v>3</v>
      </c>
      <c r="I95" s="5">
        <v>25490</v>
      </c>
      <c r="J95" s="5">
        <v>76470</v>
      </c>
      <c r="K95" s="5">
        <v>49896.2</v>
      </c>
      <c r="L95" s="5">
        <v>26573.8</v>
      </c>
      <c r="M95" s="4">
        <f t="shared" si="1"/>
        <v>0.34750621158624295</v>
      </c>
    </row>
    <row r="96" spans="1:13" x14ac:dyDescent="0.35">
      <c r="A96">
        <v>2094</v>
      </c>
      <c r="B96" s="2">
        <v>45636</v>
      </c>
      <c r="C96" t="s">
        <v>21</v>
      </c>
      <c r="D96" t="s">
        <v>18</v>
      </c>
      <c r="E96" t="s">
        <v>43</v>
      </c>
      <c r="F96" t="s">
        <v>24</v>
      </c>
      <c r="G96" t="s">
        <v>35</v>
      </c>
      <c r="H96">
        <v>1</v>
      </c>
      <c r="I96" s="5">
        <v>36533</v>
      </c>
      <c r="J96" s="5">
        <v>36533</v>
      </c>
      <c r="K96" s="5">
        <v>28683.58</v>
      </c>
      <c r="L96" s="5">
        <v>7849.42</v>
      </c>
      <c r="M96" s="4">
        <f t="shared" si="1"/>
        <v>0.21485834724769387</v>
      </c>
    </row>
    <row r="97" spans="1:13" x14ac:dyDescent="0.35">
      <c r="A97">
        <v>2095</v>
      </c>
      <c r="B97" s="2">
        <v>45438</v>
      </c>
      <c r="C97" t="s">
        <v>34</v>
      </c>
      <c r="D97" t="s">
        <v>13</v>
      </c>
      <c r="E97" t="s">
        <v>39</v>
      </c>
      <c r="F97" t="s">
        <v>24</v>
      </c>
      <c r="G97" t="s">
        <v>20</v>
      </c>
      <c r="H97">
        <v>4</v>
      </c>
      <c r="I97" s="5">
        <v>69066</v>
      </c>
      <c r="J97" s="5">
        <v>276264</v>
      </c>
      <c r="K97" s="5">
        <v>205338.14</v>
      </c>
      <c r="L97" s="5">
        <v>70925.86</v>
      </c>
      <c r="M97" s="4">
        <f t="shared" si="1"/>
        <v>0.25673218370833695</v>
      </c>
    </row>
    <row r="98" spans="1:13" x14ac:dyDescent="0.35">
      <c r="A98">
        <v>2096</v>
      </c>
      <c r="B98" s="2">
        <v>45451</v>
      </c>
      <c r="C98" t="s">
        <v>31</v>
      </c>
      <c r="D98" t="s">
        <v>18</v>
      </c>
      <c r="E98" t="s">
        <v>19</v>
      </c>
      <c r="F98" t="s">
        <v>15</v>
      </c>
      <c r="G98" t="s">
        <v>30</v>
      </c>
      <c r="H98">
        <v>1</v>
      </c>
      <c r="I98" s="5">
        <v>69989</v>
      </c>
      <c r="J98" s="5">
        <v>69989</v>
      </c>
      <c r="K98" s="5">
        <v>45737.87</v>
      </c>
      <c r="L98" s="5">
        <v>24251.13</v>
      </c>
      <c r="M98" s="4">
        <f t="shared" si="1"/>
        <v>0.34649916415436716</v>
      </c>
    </row>
    <row r="99" spans="1:13" x14ac:dyDescent="0.35">
      <c r="A99">
        <v>2097</v>
      </c>
      <c r="B99" s="2">
        <v>45522</v>
      </c>
      <c r="C99" t="s">
        <v>26</v>
      </c>
      <c r="D99" t="s">
        <v>22</v>
      </c>
      <c r="E99" t="s">
        <v>37</v>
      </c>
      <c r="F99" t="s">
        <v>24</v>
      </c>
      <c r="G99" t="s">
        <v>20</v>
      </c>
      <c r="H99">
        <v>3</v>
      </c>
      <c r="I99" s="5">
        <v>58704</v>
      </c>
      <c r="J99" s="5">
        <v>176112</v>
      </c>
      <c r="K99" s="5">
        <v>121863.77</v>
      </c>
      <c r="L99" s="5">
        <v>54248.23</v>
      </c>
      <c r="M99" s="4">
        <f t="shared" si="1"/>
        <v>0.30803255882620151</v>
      </c>
    </row>
    <row r="100" spans="1:13" x14ac:dyDescent="0.35">
      <c r="A100">
        <v>2098</v>
      </c>
      <c r="B100" s="2">
        <v>45338</v>
      </c>
      <c r="C100" t="s">
        <v>26</v>
      </c>
      <c r="D100" t="s">
        <v>32</v>
      </c>
      <c r="E100" t="s">
        <v>40</v>
      </c>
      <c r="F100" t="s">
        <v>15</v>
      </c>
      <c r="G100" t="s">
        <v>20</v>
      </c>
      <c r="H100">
        <v>2</v>
      </c>
      <c r="I100" s="5">
        <v>76690</v>
      </c>
      <c r="J100" s="5">
        <v>153380</v>
      </c>
      <c r="K100" s="5">
        <v>107728.25</v>
      </c>
      <c r="L100" s="5">
        <v>45651.75</v>
      </c>
      <c r="M100" s="4">
        <f t="shared" si="1"/>
        <v>0.29763821880297303</v>
      </c>
    </row>
    <row r="101" spans="1:13" x14ac:dyDescent="0.35">
      <c r="A101">
        <v>2099</v>
      </c>
      <c r="B101" s="2">
        <v>45615</v>
      </c>
      <c r="C101" t="s">
        <v>12</v>
      </c>
      <c r="D101" t="s">
        <v>13</v>
      </c>
      <c r="E101" t="s">
        <v>14</v>
      </c>
      <c r="F101" t="s">
        <v>15</v>
      </c>
      <c r="G101" t="s">
        <v>20</v>
      </c>
      <c r="H101">
        <v>5</v>
      </c>
      <c r="I101" s="5">
        <v>44643</v>
      </c>
      <c r="J101" s="5">
        <v>223215</v>
      </c>
      <c r="K101" s="5">
        <v>184681.94</v>
      </c>
      <c r="L101" s="5">
        <v>38533.06</v>
      </c>
      <c r="M101" s="4">
        <f t="shared" si="1"/>
        <v>0.17262755639181954</v>
      </c>
    </row>
    <row r="102" spans="1:13" x14ac:dyDescent="0.35">
      <c r="A102">
        <v>2100</v>
      </c>
      <c r="B102" s="2">
        <v>45540</v>
      </c>
      <c r="C102" t="s">
        <v>12</v>
      </c>
      <c r="D102" t="s">
        <v>13</v>
      </c>
      <c r="E102" t="s">
        <v>14</v>
      </c>
      <c r="F102" t="s">
        <v>15</v>
      </c>
      <c r="G102" t="s">
        <v>16</v>
      </c>
      <c r="H102">
        <v>4</v>
      </c>
      <c r="I102" s="5">
        <v>11255</v>
      </c>
      <c r="J102" s="5">
        <v>45020</v>
      </c>
      <c r="K102" s="5">
        <v>30695.22</v>
      </c>
      <c r="L102" s="5">
        <v>14324.78</v>
      </c>
      <c r="M102" s="4">
        <f t="shared" si="1"/>
        <v>0.3181870279875611</v>
      </c>
    </row>
    <row r="103" spans="1:13" x14ac:dyDescent="0.35">
      <c r="A103">
        <v>2101</v>
      </c>
      <c r="B103" s="2">
        <v>45499</v>
      </c>
      <c r="C103" t="s">
        <v>34</v>
      </c>
      <c r="D103" t="s">
        <v>22</v>
      </c>
      <c r="E103" t="s">
        <v>37</v>
      </c>
      <c r="F103" t="s">
        <v>24</v>
      </c>
      <c r="G103" t="s">
        <v>16</v>
      </c>
      <c r="H103">
        <v>3</v>
      </c>
      <c r="I103" s="5">
        <v>26442</v>
      </c>
      <c r="J103" s="5">
        <v>79326</v>
      </c>
      <c r="K103" s="5">
        <v>58164.7</v>
      </c>
      <c r="L103" s="5">
        <v>21161.3</v>
      </c>
      <c r="M103" s="4">
        <f t="shared" si="1"/>
        <v>0.26676373446284951</v>
      </c>
    </row>
    <row r="104" spans="1:13" x14ac:dyDescent="0.35">
      <c r="A104">
        <v>2102</v>
      </c>
      <c r="B104" s="2">
        <v>45461</v>
      </c>
      <c r="C104" t="s">
        <v>17</v>
      </c>
      <c r="D104" t="s">
        <v>22</v>
      </c>
      <c r="E104" t="s">
        <v>23</v>
      </c>
      <c r="F104" t="s">
        <v>24</v>
      </c>
      <c r="G104" t="s">
        <v>25</v>
      </c>
      <c r="H104">
        <v>1</v>
      </c>
      <c r="I104" s="5">
        <v>50539</v>
      </c>
      <c r="J104" s="5">
        <v>50539</v>
      </c>
      <c r="K104" s="5">
        <v>40438.620000000003</v>
      </c>
      <c r="L104" s="5">
        <v>10100.379999999999</v>
      </c>
      <c r="M104" s="4">
        <f t="shared" si="1"/>
        <v>0.19985318269059538</v>
      </c>
    </row>
    <row r="105" spans="1:13" x14ac:dyDescent="0.35">
      <c r="A105">
        <v>2103</v>
      </c>
      <c r="B105" s="2">
        <v>45657</v>
      </c>
      <c r="C105" t="s">
        <v>26</v>
      </c>
      <c r="D105" t="s">
        <v>22</v>
      </c>
      <c r="E105" t="s">
        <v>23</v>
      </c>
      <c r="F105" t="s">
        <v>24</v>
      </c>
      <c r="G105" t="s">
        <v>30</v>
      </c>
      <c r="H105">
        <v>1</v>
      </c>
      <c r="I105" s="5">
        <v>45988</v>
      </c>
      <c r="J105" s="5">
        <v>45988</v>
      </c>
      <c r="K105" s="5">
        <v>32221.14</v>
      </c>
      <c r="L105" s="5">
        <v>13766.86</v>
      </c>
      <c r="M105" s="4">
        <f t="shared" si="1"/>
        <v>0.29935765851961382</v>
      </c>
    </row>
    <row r="106" spans="1:13" x14ac:dyDescent="0.35">
      <c r="A106">
        <v>2104</v>
      </c>
      <c r="B106" s="2">
        <v>45593</v>
      </c>
      <c r="C106" t="s">
        <v>21</v>
      </c>
      <c r="D106" t="s">
        <v>18</v>
      </c>
      <c r="E106" t="s">
        <v>19</v>
      </c>
      <c r="F106" t="s">
        <v>15</v>
      </c>
      <c r="G106" t="s">
        <v>16</v>
      </c>
      <c r="H106">
        <v>1</v>
      </c>
      <c r="I106" s="5">
        <v>55278</v>
      </c>
      <c r="J106" s="5">
        <v>55278</v>
      </c>
      <c r="K106" s="5">
        <v>46161.72</v>
      </c>
      <c r="L106" s="5">
        <v>9116.2800000000007</v>
      </c>
      <c r="M106" s="4">
        <f t="shared" si="1"/>
        <v>0.16491696515792903</v>
      </c>
    </row>
    <row r="107" spans="1:13" x14ac:dyDescent="0.35">
      <c r="A107">
        <v>2105</v>
      </c>
      <c r="B107" s="2">
        <v>45435</v>
      </c>
      <c r="C107" t="s">
        <v>36</v>
      </c>
      <c r="D107" t="s">
        <v>13</v>
      </c>
      <c r="E107" t="s">
        <v>39</v>
      </c>
      <c r="F107" t="s">
        <v>24</v>
      </c>
      <c r="G107" t="s">
        <v>25</v>
      </c>
      <c r="H107">
        <v>1</v>
      </c>
      <c r="I107" s="5">
        <v>14765</v>
      </c>
      <c r="J107" s="5">
        <v>14765</v>
      </c>
      <c r="K107" s="5">
        <v>12062.05</v>
      </c>
      <c r="L107" s="5">
        <v>2702.95</v>
      </c>
      <c r="M107" s="4">
        <f t="shared" si="1"/>
        <v>0.18306467998645445</v>
      </c>
    </row>
    <row r="108" spans="1:13" x14ac:dyDescent="0.35">
      <c r="A108">
        <v>2106</v>
      </c>
      <c r="B108" s="2">
        <v>45419</v>
      </c>
      <c r="C108" t="s">
        <v>34</v>
      </c>
      <c r="D108" t="s">
        <v>13</v>
      </c>
      <c r="E108" t="s">
        <v>39</v>
      </c>
      <c r="F108" t="s">
        <v>24</v>
      </c>
      <c r="G108" t="s">
        <v>30</v>
      </c>
      <c r="H108">
        <v>3</v>
      </c>
      <c r="I108" s="5">
        <v>65178</v>
      </c>
      <c r="J108" s="5">
        <v>195534</v>
      </c>
      <c r="K108" s="5">
        <v>147079.23000000001</v>
      </c>
      <c r="L108" s="5">
        <v>48454.77</v>
      </c>
      <c r="M108" s="4">
        <f t="shared" si="1"/>
        <v>0.24780738899628707</v>
      </c>
    </row>
    <row r="109" spans="1:13" x14ac:dyDescent="0.35">
      <c r="A109">
        <v>2107</v>
      </c>
      <c r="B109" s="2">
        <v>45511</v>
      </c>
      <c r="C109" t="s">
        <v>36</v>
      </c>
      <c r="D109" t="s">
        <v>32</v>
      </c>
      <c r="E109" t="s">
        <v>40</v>
      </c>
      <c r="F109" t="s">
        <v>15</v>
      </c>
      <c r="G109" t="s">
        <v>35</v>
      </c>
      <c r="H109">
        <v>1</v>
      </c>
      <c r="I109" s="5">
        <v>60434</v>
      </c>
      <c r="J109" s="5">
        <v>60434</v>
      </c>
      <c r="K109" s="5">
        <v>50322.47</v>
      </c>
      <c r="L109" s="5">
        <v>10111.530000000001</v>
      </c>
      <c r="M109" s="4">
        <f t="shared" si="1"/>
        <v>0.16731525300327632</v>
      </c>
    </row>
    <row r="110" spans="1:13" x14ac:dyDescent="0.35">
      <c r="A110">
        <v>2108</v>
      </c>
      <c r="B110" s="2">
        <v>45333</v>
      </c>
      <c r="C110" t="s">
        <v>31</v>
      </c>
      <c r="D110" t="s">
        <v>41</v>
      </c>
      <c r="E110" t="s">
        <v>42</v>
      </c>
      <c r="F110" t="s">
        <v>24</v>
      </c>
      <c r="G110" t="s">
        <v>30</v>
      </c>
      <c r="H110">
        <v>1</v>
      </c>
      <c r="I110" s="5">
        <v>61855</v>
      </c>
      <c r="J110" s="5">
        <v>61855</v>
      </c>
      <c r="K110" s="5">
        <v>45783.34</v>
      </c>
      <c r="L110" s="5">
        <v>16071.66</v>
      </c>
      <c r="M110" s="4">
        <f t="shared" si="1"/>
        <v>0.25982798480316871</v>
      </c>
    </row>
    <row r="111" spans="1:13" x14ac:dyDescent="0.35">
      <c r="A111">
        <v>2109</v>
      </c>
      <c r="B111" s="2">
        <v>45540</v>
      </c>
      <c r="C111" t="s">
        <v>34</v>
      </c>
      <c r="D111" t="s">
        <v>32</v>
      </c>
      <c r="E111" t="s">
        <v>33</v>
      </c>
      <c r="F111" t="s">
        <v>24</v>
      </c>
      <c r="G111" t="s">
        <v>35</v>
      </c>
      <c r="H111">
        <v>1</v>
      </c>
      <c r="I111" s="5">
        <v>24686</v>
      </c>
      <c r="J111" s="5">
        <v>24686</v>
      </c>
      <c r="K111" s="5">
        <v>16888.990000000002</v>
      </c>
      <c r="L111" s="5">
        <v>7797.01</v>
      </c>
      <c r="M111" s="4">
        <f t="shared" si="1"/>
        <v>0.31584744389532532</v>
      </c>
    </row>
    <row r="112" spans="1:13" x14ac:dyDescent="0.35">
      <c r="A112">
        <v>2110</v>
      </c>
      <c r="B112" s="2">
        <v>45444</v>
      </c>
      <c r="C112" t="s">
        <v>17</v>
      </c>
      <c r="D112" t="s">
        <v>22</v>
      </c>
      <c r="E112" t="s">
        <v>23</v>
      </c>
      <c r="F112" t="s">
        <v>24</v>
      </c>
      <c r="G112" t="s">
        <v>35</v>
      </c>
      <c r="H112">
        <v>3</v>
      </c>
      <c r="I112" s="5">
        <v>42100</v>
      </c>
      <c r="J112" s="5">
        <v>126300</v>
      </c>
      <c r="K112" s="5">
        <v>92355.85</v>
      </c>
      <c r="L112" s="5">
        <v>33944.15</v>
      </c>
      <c r="M112" s="4">
        <f t="shared" si="1"/>
        <v>0.26875811559778306</v>
      </c>
    </row>
    <row r="113" spans="1:13" x14ac:dyDescent="0.35">
      <c r="A113">
        <v>2111</v>
      </c>
      <c r="B113" s="2">
        <v>45577</v>
      </c>
      <c r="C113" t="s">
        <v>17</v>
      </c>
      <c r="D113" t="s">
        <v>32</v>
      </c>
      <c r="E113" t="s">
        <v>40</v>
      </c>
      <c r="F113" t="s">
        <v>15</v>
      </c>
      <c r="G113" t="s">
        <v>16</v>
      </c>
      <c r="H113">
        <v>4</v>
      </c>
      <c r="I113" s="5">
        <v>23694</v>
      </c>
      <c r="J113" s="5">
        <v>94776</v>
      </c>
      <c r="K113" s="5">
        <v>64776.22</v>
      </c>
      <c r="L113" s="5">
        <v>29999.78</v>
      </c>
      <c r="M113" s="4">
        <f t="shared" si="1"/>
        <v>0.31653351059339918</v>
      </c>
    </row>
    <row r="114" spans="1:13" x14ac:dyDescent="0.35">
      <c r="A114">
        <v>2112</v>
      </c>
      <c r="B114" s="2">
        <v>45548</v>
      </c>
      <c r="C114" t="s">
        <v>26</v>
      </c>
      <c r="D114" t="s">
        <v>32</v>
      </c>
      <c r="E114" t="s">
        <v>33</v>
      </c>
      <c r="F114" t="s">
        <v>24</v>
      </c>
      <c r="G114" t="s">
        <v>30</v>
      </c>
      <c r="H114">
        <v>4</v>
      </c>
      <c r="I114" s="5">
        <v>36839</v>
      </c>
      <c r="J114" s="5">
        <v>147356</v>
      </c>
      <c r="K114" s="5">
        <v>109131.44</v>
      </c>
      <c r="L114" s="5">
        <v>38224.559999999998</v>
      </c>
      <c r="M114" s="4">
        <f t="shared" si="1"/>
        <v>0.25940280680800237</v>
      </c>
    </row>
    <row r="115" spans="1:13" x14ac:dyDescent="0.35">
      <c r="A115">
        <v>2113</v>
      </c>
      <c r="B115" s="2">
        <v>45510</v>
      </c>
      <c r="C115" t="s">
        <v>36</v>
      </c>
      <c r="D115" t="s">
        <v>13</v>
      </c>
      <c r="E115" t="s">
        <v>14</v>
      </c>
      <c r="F115" t="s">
        <v>15</v>
      </c>
      <c r="G115" t="s">
        <v>16</v>
      </c>
      <c r="H115">
        <v>2</v>
      </c>
      <c r="I115" s="5">
        <v>79799</v>
      </c>
      <c r="J115" s="5">
        <v>159598</v>
      </c>
      <c r="K115" s="5">
        <v>109880.26</v>
      </c>
      <c r="L115" s="5">
        <v>49717.74</v>
      </c>
      <c r="M115" s="4">
        <f t="shared" si="1"/>
        <v>0.31151856539555633</v>
      </c>
    </row>
    <row r="116" spans="1:13" x14ac:dyDescent="0.35">
      <c r="A116">
        <v>2114</v>
      </c>
      <c r="B116" s="2">
        <v>45576</v>
      </c>
      <c r="C116" t="s">
        <v>12</v>
      </c>
      <c r="D116" t="s">
        <v>18</v>
      </c>
      <c r="E116" t="s">
        <v>19</v>
      </c>
      <c r="F116" t="s">
        <v>15</v>
      </c>
      <c r="G116" t="s">
        <v>35</v>
      </c>
      <c r="H116">
        <v>1</v>
      </c>
      <c r="I116" s="5">
        <v>49849</v>
      </c>
      <c r="J116" s="5">
        <v>49849</v>
      </c>
      <c r="K116" s="5">
        <v>34785.89</v>
      </c>
      <c r="L116" s="5">
        <v>15063.11</v>
      </c>
      <c r="M116" s="4">
        <f t="shared" si="1"/>
        <v>0.30217476779875224</v>
      </c>
    </row>
    <row r="117" spans="1:13" x14ac:dyDescent="0.35">
      <c r="A117">
        <v>2115</v>
      </c>
      <c r="B117" s="2">
        <v>45395</v>
      </c>
      <c r="C117" t="s">
        <v>36</v>
      </c>
      <c r="D117" t="s">
        <v>13</v>
      </c>
      <c r="E117" t="s">
        <v>39</v>
      </c>
      <c r="F117" t="s">
        <v>24</v>
      </c>
      <c r="G117" t="s">
        <v>20</v>
      </c>
      <c r="H117">
        <v>1</v>
      </c>
      <c r="I117" s="5">
        <v>62104</v>
      </c>
      <c r="J117" s="5">
        <v>62104</v>
      </c>
      <c r="K117" s="5">
        <v>45122.75</v>
      </c>
      <c r="L117" s="5">
        <v>16981.25</v>
      </c>
      <c r="M117" s="4">
        <f t="shared" si="1"/>
        <v>0.2734324681179956</v>
      </c>
    </row>
    <row r="118" spans="1:13" x14ac:dyDescent="0.35">
      <c r="A118">
        <v>2116</v>
      </c>
      <c r="B118" s="2">
        <v>45430</v>
      </c>
      <c r="C118" t="s">
        <v>12</v>
      </c>
      <c r="D118" t="s">
        <v>41</v>
      </c>
      <c r="E118" t="s">
        <v>42</v>
      </c>
      <c r="F118" t="s">
        <v>24</v>
      </c>
      <c r="G118" t="s">
        <v>16</v>
      </c>
      <c r="H118">
        <v>3</v>
      </c>
      <c r="I118" s="5">
        <v>16134</v>
      </c>
      <c r="J118" s="5">
        <v>48402</v>
      </c>
      <c r="K118" s="5">
        <v>36283.550000000003</v>
      </c>
      <c r="L118" s="5">
        <v>12118.45</v>
      </c>
      <c r="M118" s="4">
        <f t="shared" si="1"/>
        <v>0.25037085244411389</v>
      </c>
    </row>
    <row r="119" spans="1:13" x14ac:dyDescent="0.35">
      <c r="A119">
        <v>2117</v>
      </c>
      <c r="B119" s="2">
        <v>45643</v>
      </c>
      <c r="C119" t="s">
        <v>17</v>
      </c>
      <c r="D119" t="s">
        <v>27</v>
      </c>
      <c r="E119" t="s">
        <v>28</v>
      </c>
      <c r="F119" t="s">
        <v>29</v>
      </c>
      <c r="G119" t="s">
        <v>30</v>
      </c>
      <c r="H119">
        <v>5</v>
      </c>
      <c r="I119" s="5">
        <v>77366</v>
      </c>
      <c r="J119" s="5">
        <v>386830</v>
      </c>
      <c r="K119" s="5">
        <v>300151.21999999997</v>
      </c>
      <c r="L119" s="5">
        <v>86678.78</v>
      </c>
      <c r="M119" s="4">
        <f t="shared" si="1"/>
        <v>0.22407460641625521</v>
      </c>
    </row>
    <row r="120" spans="1:13" x14ac:dyDescent="0.35">
      <c r="A120">
        <v>2118</v>
      </c>
      <c r="B120" s="2">
        <v>45419</v>
      </c>
      <c r="C120" t="s">
        <v>26</v>
      </c>
      <c r="D120" t="s">
        <v>32</v>
      </c>
      <c r="E120" t="s">
        <v>40</v>
      </c>
      <c r="F120" t="s">
        <v>15</v>
      </c>
      <c r="G120" t="s">
        <v>35</v>
      </c>
      <c r="H120">
        <v>4</v>
      </c>
      <c r="I120" s="5">
        <v>60396</v>
      </c>
      <c r="J120" s="5">
        <v>241584</v>
      </c>
      <c r="K120" s="5">
        <v>188232.19</v>
      </c>
      <c r="L120" s="5">
        <v>53351.81</v>
      </c>
      <c r="M120" s="4">
        <f t="shared" si="1"/>
        <v>0.22084165342075635</v>
      </c>
    </row>
    <row r="121" spans="1:13" x14ac:dyDescent="0.35">
      <c r="A121">
        <v>2119</v>
      </c>
      <c r="B121" s="2">
        <v>45357</v>
      </c>
      <c r="C121" t="s">
        <v>17</v>
      </c>
      <c r="D121" t="s">
        <v>22</v>
      </c>
      <c r="E121" t="s">
        <v>23</v>
      </c>
      <c r="F121" t="s">
        <v>24</v>
      </c>
      <c r="G121" t="s">
        <v>25</v>
      </c>
      <c r="H121">
        <v>1</v>
      </c>
      <c r="I121" s="5">
        <v>63731</v>
      </c>
      <c r="J121" s="5">
        <v>63731</v>
      </c>
      <c r="K121" s="5">
        <v>50468.73</v>
      </c>
      <c r="L121" s="5">
        <v>13262.27</v>
      </c>
      <c r="M121" s="4">
        <f t="shared" si="1"/>
        <v>0.20809762909729959</v>
      </c>
    </row>
    <row r="122" spans="1:13" x14ac:dyDescent="0.35">
      <c r="A122">
        <v>2120</v>
      </c>
      <c r="B122" s="2">
        <v>45292</v>
      </c>
      <c r="C122" t="s">
        <v>31</v>
      </c>
      <c r="D122" t="s">
        <v>22</v>
      </c>
      <c r="E122" t="s">
        <v>37</v>
      </c>
      <c r="F122" t="s">
        <v>24</v>
      </c>
      <c r="G122" t="s">
        <v>16</v>
      </c>
      <c r="H122">
        <v>1</v>
      </c>
      <c r="I122" s="5">
        <v>59317</v>
      </c>
      <c r="J122" s="5">
        <v>59317</v>
      </c>
      <c r="K122" s="5">
        <v>49591.839999999997</v>
      </c>
      <c r="L122" s="5">
        <v>9725.16</v>
      </c>
      <c r="M122" s="4">
        <f t="shared" si="1"/>
        <v>0.16395232395434697</v>
      </c>
    </row>
    <row r="123" spans="1:13" x14ac:dyDescent="0.35">
      <c r="A123">
        <v>2121</v>
      </c>
      <c r="B123" s="2">
        <v>45521</v>
      </c>
      <c r="C123" t="s">
        <v>36</v>
      </c>
      <c r="D123" t="s">
        <v>41</v>
      </c>
      <c r="E123" t="s">
        <v>42</v>
      </c>
      <c r="F123" t="s">
        <v>24</v>
      </c>
      <c r="G123" t="s">
        <v>16</v>
      </c>
      <c r="H123">
        <v>2</v>
      </c>
      <c r="I123" s="5">
        <v>22292</v>
      </c>
      <c r="J123" s="5">
        <v>44584</v>
      </c>
      <c r="K123" s="5">
        <v>30975.18</v>
      </c>
      <c r="L123" s="5">
        <v>13608.82</v>
      </c>
      <c r="M123" s="4">
        <f t="shared" si="1"/>
        <v>0.30523999641126859</v>
      </c>
    </row>
    <row r="124" spans="1:13" x14ac:dyDescent="0.35">
      <c r="A124">
        <v>2122</v>
      </c>
      <c r="B124" s="2">
        <v>45347</v>
      </c>
      <c r="C124" t="s">
        <v>31</v>
      </c>
      <c r="D124" t="s">
        <v>32</v>
      </c>
      <c r="E124" t="s">
        <v>33</v>
      </c>
      <c r="F124" t="s">
        <v>24</v>
      </c>
      <c r="G124" t="s">
        <v>38</v>
      </c>
      <c r="H124">
        <v>4</v>
      </c>
      <c r="I124" s="5">
        <v>19141</v>
      </c>
      <c r="J124" s="5">
        <v>76564</v>
      </c>
      <c r="K124" s="5">
        <v>58211.62</v>
      </c>
      <c r="L124" s="5">
        <v>18352.38</v>
      </c>
      <c r="M124" s="4">
        <f t="shared" si="1"/>
        <v>0.23969985894153911</v>
      </c>
    </row>
    <row r="125" spans="1:13" x14ac:dyDescent="0.35">
      <c r="A125">
        <v>2123</v>
      </c>
      <c r="B125" s="2">
        <v>45411</v>
      </c>
      <c r="C125" t="s">
        <v>26</v>
      </c>
      <c r="D125" t="s">
        <v>18</v>
      </c>
      <c r="E125" t="s">
        <v>43</v>
      </c>
      <c r="F125" t="s">
        <v>24</v>
      </c>
      <c r="G125" t="s">
        <v>30</v>
      </c>
      <c r="H125">
        <v>5</v>
      </c>
      <c r="I125" s="5">
        <v>12927</v>
      </c>
      <c r="J125" s="5">
        <v>64635</v>
      </c>
      <c r="K125" s="5">
        <v>50357.2</v>
      </c>
      <c r="L125" s="5">
        <v>14277.8</v>
      </c>
      <c r="M125" s="4">
        <f t="shared" si="1"/>
        <v>0.22089889378819524</v>
      </c>
    </row>
    <row r="126" spans="1:13" x14ac:dyDescent="0.35">
      <c r="A126">
        <v>2124</v>
      </c>
      <c r="B126" s="2">
        <v>45420</v>
      </c>
      <c r="C126" t="s">
        <v>12</v>
      </c>
      <c r="D126" t="s">
        <v>13</v>
      </c>
      <c r="E126" t="s">
        <v>39</v>
      </c>
      <c r="F126" t="s">
        <v>24</v>
      </c>
      <c r="G126" t="s">
        <v>38</v>
      </c>
      <c r="H126">
        <v>5</v>
      </c>
      <c r="I126" s="5">
        <v>65334</v>
      </c>
      <c r="J126" s="5">
        <v>326670</v>
      </c>
      <c r="K126" s="5">
        <v>257976.65</v>
      </c>
      <c r="L126" s="5">
        <v>68693.350000000006</v>
      </c>
      <c r="M126" s="4">
        <f t="shared" si="1"/>
        <v>0.21028361955490252</v>
      </c>
    </row>
    <row r="127" spans="1:13" x14ac:dyDescent="0.35">
      <c r="A127">
        <v>2125</v>
      </c>
      <c r="B127" s="2">
        <v>45445</v>
      </c>
      <c r="C127" t="s">
        <v>26</v>
      </c>
      <c r="D127" t="s">
        <v>18</v>
      </c>
      <c r="E127" t="s">
        <v>19</v>
      </c>
      <c r="F127" t="s">
        <v>15</v>
      </c>
      <c r="G127" t="s">
        <v>25</v>
      </c>
      <c r="H127">
        <v>5</v>
      </c>
      <c r="I127" s="5">
        <v>33126</v>
      </c>
      <c r="J127" s="5">
        <v>165630</v>
      </c>
      <c r="K127" s="5">
        <v>120515.1</v>
      </c>
      <c r="L127" s="5">
        <v>45114.9</v>
      </c>
      <c r="M127" s="4">
        <f t="shared" si="1"/>
        <v>0.27238362615468215</v>
      </c>
    </row>
    <row r="128" spans="1:13" x14ac:dyDescent="0.35">
      <c r="A128">
        <v>2126</v>
      </c>
      <c r="B128" s="2">
        <v>45292</v>
      </c>
      <c r="C128" t="s">
        <v>36</v>
      </c>
      <c r="D128" t="s">
        <v>32</v>
      </c>
      <c r="E128" t="s">
        <v>40</v>
      </c>
      <c r="F128" t="s">
        <v>15</v>
      </c>
      <c r="G128" t="s">
        <v>20</v>
      </c>
      <c r="H128">
        <v>1</v>
      </c>
      <c r="I128" s="5">
        <v>78448</v>
      </c>
      <c r="J128" s="5">
        <v>78448</v>
      </c>
      <c r="K128" s="5">
        <v>55721.95</v>
      </c>
      <c r="L128" s="5">
        <v>22726.05</v>
      </c>
      <c r="M128" s="4">
        <f t="shared" si="1"/>
        <v>0.2896957220069345</v>
      </c>
    </row>
    <row r="129" spans="1:13" x14ac:dyDescent="0.35">
      <c r="A129">
        <v>2127</v>
      </c>
      <c r="B129" s="2">
        <v>45622</v>
      </c>
      <c r="C129" t="s">
        <v>17</v>
      </c>
      <c r="D129" t="s">
        <v>22</v>
      </c>
      <c r="E129" t="s">
        <v>37</v>
      </c>
      <c r="F129" t="s">
        <v>24</v>
      </c>
      <c r="G129" t="s">
        <v>35</v>
      </c>
      <c r="H129">
        <v>2</v>
      </c>
      <c r="I129" s="5">
        <v>70299</v>
      </c>
      <c r="J129" s="5">
        <v>140598</v>
      </c>
      <c r="K129" s="5">
        <v>106187.42</v>
      </c>
      <c r="L129" s="5">
        <v>34410.58</v>
      </c>
      <c r="M129" s="4">
        <f t="shared" si="1"/>
        <v>0.24474444871193049</v>
      </c>
    </row>
    <row r="130" spans="1:13" x14ac:dyDescent="0.35">
      <c r="A130">
        <v>2128</v>
      </c>
      <c r="B130" s="2">
        <v>45502</v>
      </c>
      <c r="C130" t="s">
        <v>12</v>
      </c>
      <c r="D130" t="s">
        <v>41</v>
      </c>
      <c r="E130" t="s">
        <v>42</v>
      </c>
      <c r="F130" t="s">
        <v>24</v>
      </c>
      <c r="G130" t="s">
        <v>25</v>
      </c>
      <c r="H130">
        <v>3</v>
      </c>
      <c r="I130" s="5">
        <v>15249</v>
      </c>
      <c r="J130" s="5">
        <v>45747</v>
      </c>
      <c r="K130" s="5">
        <v>29934.89</v>
      </c>
      <c r="L130" s="5">
        <v>15812.11</v>
      </c>
      <c r="M130" s="4">
        <f t="shared" si="1"/>
        <v>0.3456425557960085</v>
      </c>
    </row>
    <row r="131" spans="1:13" x14ac:dyDescent="0.35">
      <c r="A131">
        <v>2129</v>
      </c>
      <c r="B131" s="2">
        <v>45507</v>
      </c>
      <c r="C131" t="s">
        <v>34</v>
      </c>
      <c r="D131" t="s">
        <v>22</v>
      </c>
      <c r="E131" t="s">
        <v>37</v>
      </c>
      <c r="F131" t="s">
        <v>24</v>
      </c>
      <c r="G131" t="s">
        <v>38</v>
      </c>
      <c r="H131">
        <v>1</v>
      </c>
      <c r="I131" s="5">
        <v>41719</v>
      </c>
      <c r="J131" s="5">
        <v>41719</v>
      </c>
      <c r="K131" s="5">
        <v>29018.41</v>
      </c>
      <c r="L131" s="5">
        <v>12700.59</v>
      </c>
      <c r="M131" s="4">
        <f t="shared" ref="M131:M194" si="2">L131/J131</f>
        <v>0.30443179366715406</v>
      </c>
    </row>
    <row r="132" spans="1:13" x14ac:dyDescent="0.35">
      <c r="A132">
        <v>2130</v>
      </c>
      <c r="B132" s="2">
        <v>45544</v>
      </c>
      <c r="C132" t="s">
        <v>17</v>
      </c>
      <c r="D132" t="s">
        <v>22</v>
      </c>
      <c r="E132" t="s">
        <v>23</v>
      </c>
      <c r="F132" t="s">
        <v>24</v>
      </c>
      <c r="G132" t="s">
        <v>30</v>
      </c>
      <c r="H132">
        <v>1</v>
      </c>
      <c r="I132" s="5">
        <v>52309</v>
      </c>
      <c r="J132" s="5">
        <v>52309</v>
      </c>
      <c r="K132" s="5">
        <v>41515.9</v>
      </c>
      <c r="L132" s="5">
        <v>10793.1</v>
      </c>
      <c r="M132" s="4">
        <f t="shared" si="2"/>
        <v>0.20633351813263492</v>
      </c>
    </row>
    <row r="133" spans="1:13" x14ac:dyDescent="0.35">
      <c r="A133">
        <v>2131</v>
      </c>
      <c r="B133" s="2">
        <v>45393</v>
      </c>
      <c r="C133" t="s">
        <v>34</v>
      </c>
      <c r="D133" t="s">
        <v>13</v>
      </c>
      <c r="E133" t="s">
        <v>14</v>
      </c>
      <c r="F133" t="s">
        <v>15</v>
      </c>
      <c r="G133" t="s">
        <v>16</v>
      </c>
      <c r="H133">
        <v>1</v>
      </c>
      <c r="I133" s="5">
        <v>46287</v>
      </c>
      <c r="J133" s="5">
        <v>46287</v>
      </c>
      <c r="K133" s="5">
        <v>36928.959999999999</v>
      </c>
      <c r="L133" s="5">
        <v>9358.0400000000009</v>
      </c>
      <c r="M133" s="4">
        <f t="shared" si="2"/>
        <v>0.20217426059152679</v>
      </c>
    </row>
    <row r="134" spans="1:13" x14ac:dyDescent="0.35">
      <c r="A134">
        <v>2132</v>
      </c>
      <c r="B134" s="2">
        <v>45545</v>
      </c>
      <c r="C134" t="s">
        <v>26</v>
      </c>
      <c r="D134" t="s">
        <v>41</v>
      </c>
      <c r="E134" t="s">
        <v>42</v>
      </c>
      <c r="F134" t="s">
        <v>24</v>
      </c>
      <c r="G134" t="s">
        <v>30</v>
      </c>
      <c r="H134">
        <v>2</v>
      </c>
      <c r="I134" s="5">
        <v>48857</v>
      </c>
      <c r="J134" s="5">
        <v>97714</v>
      </c>
      <c r="K134" s="5">
        <v>78481.09</v>
      </c>
      <c r="L134" s="5">
        <v>19232.91</v>
      </c>
      <c r="M134" s="4">
        <f t="shared" si="2"/>
        <v>0.19682860183801706</v>
      </c>
    </row>
    <row r="135" spans="1:13" x14ac:dyDescent="0.35">
      <c r="A135">
        <v>2133</v>
      </c>
      <c r="B135" s="2">
        <v>45405</v>
      </c>
      <c r="C135" t="s">
        <v>12</v>
      </c>
      <c r="D135" t="s">
        <v>32</v>
      </c>
      <c r="E135" t="s">
        <v>40</v>
      </c>
      <c r="F135" t="s">
        <v>15</v>
      </c>
      <c r="G135" t="s">
        <v>16</v>
      </c>
      <c r="H135">
        <v>3</v>
      </c>
      <c r="I135" s="5">
        <v>46657</v>
      </c>
      <c r="J135" s="5">
        <v>139971</v>
      </c>
      <c r="K135" s="5">
        <v>94032.74</v>
      </c>
      <c r="L135" s="5">
        <v>45938.26</v>
      </c>
      <c r="M135" s="4">
        <f t="shared" si="2"/>
        <v>0.32819841252830945</v>
      </c>
    </row>
    <row r="136" spans="1:13" x14ac:dyDescent="0.35">
      <c r="A136">
        <v>2134</v>
      </c>
      <c r="B136" s="2">
        <v>45387</v>
      </c>
      <c r="C136" t="s">
        <v>21</v>
      </c>
      <c r="D136" t="s">
        <v>27</v>
      </c>
      <c r="E136" t="s">
        <v>28</v>
      </c>
      <c r="F136" t="s">
        <v>29</v>
      </c>
      <c r="G136" t="s">
        <v>20</v>
      </c>
      <c r="H136">
        <v>2</v>
      </c>
      <c r="I136" s="5">
        <v>71576</v>
      </c>
      <c r="J136" s="5">
        <v>143152</v>
      </c>
      <c r="K136" s="5">
        <v>104988.51</v>
      </c>
      <c r="L136" s="5">
        <v>38163.49</v>
      </c>
      <c r="M136" s="4">
        <f t="shared" si="2"/>
        <v>0.26659417961327819</v>
      </c>
    </row>
    <row r="137" spans="1:13" x14ac:dyDescent="0.35">
      <c r="A137">
        <v>2135</v>
      </c>
      <c r="B137" s="2">
        <v>45493</v>
      </c>
      <c r="C137" t="s">
        <v>31</v>
      </c>
      <c r="D137" t="s">
        <v>18</v>
      </c>
      <c r="E137" t="s">
        <v>43</v>
      </c>
      <c r="F137" t="s">
        <v>24</v>
      </c>
      <c r="G137" t="s">
        <v>30</v>
      </c>
      <c r="H137">
        <v>1</v>
      </c>
      <c r="I137" s="5">
        <v>35911</v>
      </c>
      <c r="J137" s="5">
        <v>35911</v>
      </c>
      <c r="K137" s="5">
        <v>23511.86</v>
      </c>
      <c r="L137" s="5">
        <v>12399.14</v>
      </c>
      <c r="M137" s="4">
        <f t="shared" si="2"/>
        <v>0.3452741499818997</v>
      </c>
    </row>
    <row r="138" spans="1:13" x14ac:dyDescent="0.35">
      <c r="A138">
        <v>2136</v>
      </c>
      <c r="B138" s="2">
        <v>45318</v>
      </c>
      <c r="C138" t="s">
        <v>12</v>
      </c>
      <c r="D138" t="s">
        <v>27</v>
      </c>
      <c r="E138" t="s">
        <v>28</v>
      </c>
      <c r="F138" t="s">
        <v>29</v>
      </c>
      <c r="G138" t="s">
        <v>16</v>
      </c>
      <c r="H138">
        <v>1</v>
      </c>
      <c r="I138" s="5">
        <v>32130</v>
      </c>
      <c r="J138" s="5">
        <v>32130</v>
      </c>
      <c r="K138" s="5">
        <v>23411.99</v>
      </c>
      <c r="L138" s="5">
        <v>8718.01</v>
      </c>
      <c r="M138" s="4">
        <f t="shared" si="2"/>
        <v>0.27133551198257083</v>
      </c>
    </row>
    <row r="139" spans="1:13" x14ac:dyDescent="0.35">
      <c r="A139">
        <v>2137</v>
      </c>
      <c r="B139" s="2">
        <v>45332</v>
      </c>
      <c r="C139" t="s">
        <v>34</v>
      </c>
      <c r="D139" t="s">
        <v>13</v>
      </c>
      <c r="E139" t="s">
        <v>14</v>
      </c>
      <c r="F139" t="s">
        <v>15</v>
      </c>
      <c r="G139" t="s">
        <v>25</v>
      </c>
      <c r="H139">
        <v>2</v>
      </c>
      <c r="I139" s="5">
        <v>51154</v>
      </c>
      <c r="J139" s="5">
        <v>102308</v>
      </c>
      <c r="K139" s="5">
        <v>70401.89</v>
      </c>
      <c r="L139" s="5">
        <v>31906.11</v>
      </c>
      <c r="M139" s="4">
        <f t="shared" si="2"/>
        <v>0.3118632951479845</v>
      </c>
    </row>
    <row r="140" spans="1:13" x14ac:dyDescent="0.35">
      <c r="A140">
        <v>2138</v>
      </c>
      <c r="B140" s="2">
        <v>45308</v>
      </c>
      <c r="C140" t="s">
        <v>34</v>
      </c>
      <c r="D140" t="s">
        <v>41</v>
      </c>
      <c r="E140" t="s">
        <v>42</v>
      </c>
      <c r="F140" t="s">
        <v>24</v>
      </c>
      <c r="G140" t="s">
        <v>16</v>
      </c>
      <c r="H140">
        <v>3</v>
      </c>
      <c r="I140" s="5">
        <v>57626</v>
      </c>
      <c r="J140" s="5">
        <v>172878</v>
      </c>
      <c r="K140" s="5">
        <v>141384.01999999999</v>
      </c>
      <c r="L140" s="5">
        <v>31493.98</v>
      </c>
      <c r="M140" s="4">
        <f t="shared" si="2"/>
        <v>0.1821745971147283</v>
      </c>
    </row>
    <row r="141" spans="1:13" x14ac:dyDescent="0.35">
      <c r="A141">
        <v>2139</v>
      </c>
      <c r="B141" s="2">
        <v>45347</v>
      </c>
      <c r="C141" t="s">
        <v>21</v>
      </c>
      <c r="D141" t="s">
        <v>13</v>
      </c>
      <c r="E141" t="s">
        <v>14</v>
      </c>
      <c r="F141" t="s">
        <v>15</v>
      </c>
      <c r="G141" t="s">
        <v>30</v>
      </c>
      <c r="H141">
        <v>1</v>
      </c>
      <c r="I141" s="5">
        <v>18255</v>
      </c>
      <c r="J141" s="5">
        <v>18255</v>
      </c>
      <c r="K141" s="5">
        <v>12887.32</v>
      </c>
      <c r="L141" s="5">
        <v>5367.68</v>
      </c>
      <c r="M141" s="4">
        <f t="shared" si="2"/>
        <v>0.29403889345384826</v>
      </c>
    </row>
    <row r="142" spans="1:13" x14ac:dyDescent="0.35">
      <c r="A142">
        <v>2140</v>
      </c>
      <c r="B142" s="2">
        <v>45579</v>
      </c>
      <c r="C142" t="s">
        <v>21</v>
      </c>
      <c r="D142" t="s">
        <v>13</v>
      </c>
      <c r="E142" t="s">
        <v>14</v>
      </c>
      <c r="F142" t="s">
        <v>15</v>
      </c>
      <c r="G142" t="s">
        <v>25</v>
      </c>
      <c r="H142">
        <v>2</v>
      </c>
      <c r="I142" s="5">
        <v>57824</v>
      </c>
      <c r="J142" s="5">
        <v>115648</v>
      </c>
      <c r="K142" s="5">
        <v>83419.89</v>
      </c>
      <c r="L142" s="5">
        <v>32228.11</v>
      </c>
      <c r="M142" s="4">
        <f t="shared" si="2"/>
        <v>0.27867416643608189</v>
      </c>
    </row>
    <row r="143" spans="1:13" x14ac:dyDescent="0.35">
      <c r="A143">
        <v>2141</v>
      </c>
      <c r="B143" s="2">
        <v>45336</v>
      </c>
      <c r="C143" t="s">
        <v>36</v>
      </c>
      <c r="D143" t="s">
        <v>13</v>
      </c>
      <c r="E143" t="s">
        <v>39</v>
      </c>
      <c r="F143" t="s">
        <v>24</v>
      </c>
      <c r="G143" t="s">
        <v>16</v>
      </c>
      <c r="H143">
        <v>1</v>
      </c>
      <c r="I143" s="5">
        <v>70057</v>
      </c>
      <c r="J143" s="5">
        <v>70057</v>
      </c>
      <c r="K143" s="5">
        <v>48279.3</v>
      </c>
      <c r="L143" s="5">
        <v>21777.7</v>
      </c>
      <c r="M143" s="4">
        <f t="shared" si="2"/>
        <v>0.3108568736885679</v>
      </c>
    </row>
    <row r="144" spans="1:13" x14ac:dyDescent="0.35">
      <c r="A144">
        <v>2142</v>
      </c>
      <c r="B144" s="2">
        <v>45457</v>
      </c>
      <c r="C144" t="s">
        <v>21</v>
      </c>
      <c r="D144" t="s">
        <v>41</v>
      </c>
      <c r="E144" t="s">
        <v>42</v>
      </c>
      <c r="F144" t="s">
        <v>24</v>
      </c>
      <c r="G144" t="s">
        <v>30</v>
      </c>
      <c r="H144">
        <v>3</v>
      </c>
      <c r="I144" s="5">
        <v>70198</v>
      </c>
      <c r="J144" s="5">
        <v>210594</v>
      </c>
      <c r="K144" s="5">
        <v>138161.54</v>
      </c>
      <c r="L144" s="5">
        <v>72432.460000000006</v>
      </c>
      <c r="M144" s="4">
        <f t="shared" si="2"/>
        <v>0.34394360713030764</v>
      </c>
    </row>
    <row r="145" spans="1:13" x14ac:dyDescent="0.35">
      <c r="A145">
        <v>2143</v>
      </c>
      <c r="B145" s="2">
        <v>45499</v>
      </c>
      <c r="C145" t="s">
        <v>12</v>
      </c>
      <c r="D145" t="s">
        <v>22</v>
      </c>
      <c r="E145" t="s">
        <v>23</v>
      </c>
      <c r="F145" t="s">
        <v>24</v>
      </c>
      <c r="G145" t="s">
        <v>38</v>
      </c>
      <c r="H145">
        <v>1</v>
      </c>
      <c r="I145" s="5">
        <v>57226</v>
      </c>
      <c r="J145" s="5">
        <v>57226</v>
      </c>
      <c r="K145" s="5">
        <v>37595.82</v>
      </c>
      <c r="L145" s="5">
        <v>19630.18</v>
      </c>
      <c r="M145" s="4">
        <f t="shared" si="2"/>
        <v>0.34302904274280921</v>
      </c>
    </row>
    <row r="146" spans="1:13" x14ac:dyDescent="0.35">
      <c r="A146">
        <v>2144</v>
      </c>
      <c r="B146" s="2">
        <v>45423</v>
      </c>
      <c r="C146" t="s">
        <v>36</v>
      </c>
      <c r="D146" t="s">
        <v>18</v>
      </c>
      <c r="E146" t="s">
        <v>19</v>
      </c>
      <c r="F146" t="s">
        <v>15</v>
      </c>
      <c r="G146" t="s">
        <v>25</v>
      </c>
      <c r="H146">
        <v>2</v>
      </c>
      <c r="I146" s="5">
        <v>16238</v>
      </c>
      <c r="J146" s="5">
        <v>32476</v>
      </c>
      <c r="K146" s="5">
        <v>26945.67</v>
      </c>
      <c r="L146" s="5">
        <v>5530.33</v>
      </c>
      <c r="M146" s="4">
        <f t="shared" si="2"/>
        <v>0.17028975243256558</v>
      </c>
    </row>
    <row r="147" spans="1:13" x14ac:dyDescent="0.35">
      <c r="A147">
        <v>2145</v>
      </c>
      <c r="B147" s="2">
        <v>45463</v>
      </c>
      <c r="C147" t="s">
        <v>17</v>
      </c>
      <c r="D147" t="s">
        <v>13</v>
      </c>
      <c r="E147" t="s">
        <v>14</v>
      </c>
      <c r="F147" t="s">
        <v>15</v>
      </c>
      <c r="G147" t="s">
        <v>35</v>
      </c>
      <c r="H147">
        <v>5</v>
      </c>
      <c r="I147" s="5">
        <v>13712</v>
      </c>
      <c r="J147" s="5">
        <v>68560</v>
      </c>
      <c r="K147" s="5">
        <v>48158.91</v>
      </c>
      <c r="L147" s="5">
        <v>20401.09</v>
      </c>
      <c r="M147" s="4">
        <f t="shared" si="2"/>
        <v>0.29756549008168026</v>
      </c>
    </row>
    <row r="148" spans="1:13" x14ac:dyDescent="0.35">
      <c r="A148">
        <v>2146</v>
      </c>
      <c r="B148" s="2">
        <v>45293</v>
      </c>
      <c r="C148" t="s">
        <v>17</v>
      </c>
      <c r="D148" t="s">
        <v>13</v>
      </c>
      <c r="E148" t="s">
        <v>14</v>
      </c>
      <c r="F148" t="s">
        <v>15</v>
      </c>
      <c r="G148" t="s">
        <v>35</v>
      </c>
      <c r="H148">
        <v>5</v>
      </c>
      <c r="I148" s="5">
        <v>16563</v>
      </c>
      <c r="J148" s="5">
        <v>82815</v>
      </c>
      <c r="K148" s="5">
        <v>54231.51</v>
      </c>
      <c r="L148" s="5">
        <v>28583.49</v>
      </c>
      <c r="M148" s="4">
        <f t="shared" si="2"/>
        <v>0.34514870494475641</v>
      </c>
    </row>
    <row r="149" spans="1:13" x14ac:dyDescent="0.35">
      <c r="A149">
        <v>2147</v>
      </c>
      <c r="B149" s="2">
        <v>45530</v>
      </c>
      <c r="C149" t="s">
        <v>26</v>
      </c>
      <c r="D149" t="s">
        <v>32</v>
      </c>
      <c r="E149" t="s">
        <v>40</v>
      </c>
      <c r="F149" t="s">
        <v>15</v>
      </c>
      <c r="G149" t="s">
        <v>16</v>
      </c>
      <c r="H149">
        <v>4</v>
      </c>
      <c r="I149" s="5">
        <v>40905</v>
      </c>
      <c r="J149" s="5">
        <v>163620</v>
      </c>
      <c r="K149" s="5">
        <v>136247.81</v>
      </c>
      <c r="L149" s="5">
        <v>27372.19</v>
      </c>
      <c r="M149" s="4">
        <f t="shared" si="2"/>
        <v>0.16729122356680112</v>
      </c>
    </row>
    <row r="150" spans="1:13" x14ac:dyDescent="0.35">
      <c r="A150">
        <v>2148</v>
      </c>
      <c r="B150" s="2">
        <v>45385</v>
      </c>
      <c r="C150" t="s">
        <v>12</v>
      </c>
      <c r="D150" t="s">
        <v>22</v>
      </c>
      <c r="E150" t="s">
        <v>37</v>
      </c>
      <c r="F150" t="s">
        <v>24</v>
      </c>
      <c r="G150" t="s">
        <v>16</v>
      </c>
      <c r="H150">
        <v>1</v>
      </c>
      <c r="I150" s="5">
        <v>47756</v>
      </c>
      <c r="J150" s="5">
        <v>47756</v>
      </c>
      <c r="K150" s="5">
        <v>38899.699999999997</v>
      </c>
      <c r="L150" s="5">
        <v>8856.2999999999993</v>
      </c>
      <c r="M150" s="4">
        <f t="shared" si="2"/>
        <v>0.1854489488231845</v>
      </c>
    </row>
    <row r="151" spans="1:13" x14ac:dyDescent="0.35">
      <c r="A151">
        <v>2149</v>
      </c>
      <c r="B151" s="2">
        <v>45459</v>
      </c>
      <c r="C151" t="s">
        <v>31</v>
      </c>
      <c r="D151" t="s">
        <v>32</v>
      </c>
      <c r="E151" t="s">
        <v>33</v>
      </c>
      <c r="F151" t="s">
        <v>24</v>
      </c>
      <c r="G151" t="s">
        <v>30</v>
      </c>
      <c r="H151">
        <v>3</v>
      </c>
      <c r="I151" s="5">
        <v>68395</v>
      </c>
      <c r="J151" s="5">
        <v>205185</v>
      </c>
      <c r="K151" s="5">
        <v>148219.82999999999</v>
      </c>
      <c r="L151" s="5">
        <v>56965.17</v>
      </c>
      <c r="M151" s="4">
        <f t="shared" si="2"/>
        <v>0.27762833540463483</v>
      </c>
    </row>
    <row r="152" spans="1:13" x14ac:dyDescent="0.35">
      <c r="A152">
        <v>2150</v>
      </c>
      <c r="B152" s="2">
        <v>45393</v>
      </c>
      <c r="C152" t="s">
        <v>26</v>
      </c>
      <c r="D152" t="s">
        <v>27</v>
      </c>
      <c r="E152" t="s">
        <v>28</v>
      </c>
      <c r="F152" t="s">
        <v>29</v>
      </c>
      <c r="G152" t="s">
        <v>20</v>
      </c>
      <c r="H152">
        <v>4</v>
      </c>
      <c r="I152" s="5">
        <v>28963</v>
      </c>
      <c r="J152" s="5">
        <v>115852</v>
      </c>
      <c r="K152" s="5">
        <v>81034.009999999995</v>
      </c>
      <c r="L152" s="5">
        <v>34817.99</v>
      </c>
      <c r="M152" s="4">
        <f t="shared" si="2"/>
        <v>0.30053853192003588</v>
      </c>
    </row>
    <row r="153" spans="1:13" x14ac:dyDescent="0.35">
      <c r="A153">
        <v>2151</v>
      </c>
      <c r="B153" s="2">
        <v>45538</v>
      </c>
      <c r="C153" t="s">
        <v>34</v>
      </c>
      <c r="D153" t="s">
        <v>18</v>
      </c>
      <c r="E153" t="s">
        <v>19</v>
      </c>
      <c r="F153" t="s">
        <v>15</v>
      </c>
      <c r="G153" t="s">
        <v>25</v>
      </c>
      <c r="H153">
        <v>5</v>
      </c>
      <c r="I153" s="5">
        <v>79383</v>
      </c>
      <c r="J153" s="5">
        <v>396915</v>
      </c>
      <c r="K153" s="5">
        <v>283854.43</v>
      </c>
      <c r="L153" s="5">
        <v>113060.57</v>
      </c>
      <c r="M153" s="4">
        <f t="shared" si="2"/>
        <v>0.28484831764987467</v>
      </c>
    </row>
    <row r="154" spans="1:13" x14ac:dyDescent="0.35">
      <c r="A154">
        <v>2152</v>
      </c>
      <c r="B154" s="2">
        <v>45427</v>
      </c>
      <c r="C154" t="s">
        <v>26</v>
      </c>
      <c r="D154" t="s">
        <v>22</v>
      </c>
      <c r="E154" t="s">
        <v>23</v>
      </c>
      <c r="F154" t="s">
        <v>24</v>
      </c>
      <c r="G154" t="s">
        <v>25</v>
      </c>
      <c r="H154">
        <v>5</v>
      </c>
      <c r="I154" s="5">
        <v>19020</v>
      </c>
      <c r="J154" s="5">
        <v>95100</v>
      </c>
      <c r="K154" s="5">
        <v>65777.649999999994</v>
      </c>
      <c r="L154" s="5">
        <v>29322.35</v>
      </c>
      <c r="M154" s="4">
        <f t="shared" si="2"/>
        <v>0.30833175604626706</v>
      </c>
    </row>
    <row r="155" spans="1:13" x14ac:dyDescent="0.35">
      <c r="A155">
        <v>2153</v>
      </c>
      <c r="B155" s="2">
        <v>45520</v>
      </c>
      <c r="C155" t="s">
        <v>21</v>
      </c>
      <c r="D155" t="s">
        <v>22</v>
      </c>
      <c r="E155" t="s">
        <v>23</v>
      </c>
      <c r="F155" t="s">
        <v>24</v>
      </c>
      <c r="G155" t="s">
        <v>38</v>
      </c>
      <c r="H155">
        <v>2</v>
      </c>
      <c r="I155" s="5">
        <v>38696</v>
      </c>
      <c r="J155" s="5">
        <v>77392</v>
      </c>
      <c r="K155" s="5">
        <v>52362.36</v>
      </c>
      <c r="L155" s="5">
        <v>25029.64</v>
      </c>
      <c r="M155" s="4">
        <f t="shared" si="2"/>
        <v>0.32341378953897043</v>
      </c>
    </row>
    <row r="156" spans="1:13" x14ac:dyDescent="0.35">
      <c r="A156">
        <v>2154</v>
      </c>
      <c r="B156" s="2">
        <v>45412</v>
      </c>
      <c r="C156" t="s">
        <v>31</v>
      </c>
      <c r="D156" t="s">
        <v>22</v>
      </c>
      <c r="E156" t="s">
        <v>37</v>
      </c>
      <c r="F156" t="s">
        <v>24</v>
      </c>
      <c r="G156" t="s">
        <v>38</v>
      </c>
      <c r="H156">
        <v>5</v>
      </c>
      <c r="I156" s="5">
        <v>23881</v>
      </c>
      <c r="J156" s="5">
        <v>119405</v>
      </c>
      <c r="K156" s="5">
        <v>96234.47</v>
      </c>
      <c r="L156" s="5">
        <v>23170.53</v>
      </c>
      <c r="M156" s="4">
        <f t="shared" si="2"/>
        <v>0.19404991415769857</v>
      </c>
    </row>
    <row r="157" spans="1:13" x14ac:dyDescent="0.35">
      <c r="A157">
        <v>2155</v>
      </c>
      <c r="B157" s="2">
        <v>45582</v>
      </c>
      <c r="C157" t="s">
        <v>17</v>
      </c>
      <c r="D157" t="s">
        <v>13</v>
      </c>
      <c r="E157" t="s">
        <v>39</v>
      </c>
      <c r="F157" t="s">
        <v>24</v>
      </c>
      <c r="G157" t="s">
        <v>35</v>
      </c>
      <c r="H157">
        <v>3</v>
      </c>
      <c r="I157" s="5">
        <v>56886</v>
      </c>
      <c r="J157" s="5">
        <v>170658</v>
      </c>
      <c r="K157" s="5">
        <v>119599.05</v>
      </c>
      <c r="L157" s="5">
        <v>51058.95</v>
      </c>
      <c r="M157" s="4">
        <f t="shared" si="2"/>
        <v>0.29918872833386068</v>
      </c>
    </row>
    <row r="158" spans="1:13" x14ac:dyDescent="0.35">
      <c r="A158">
        <v>2156</v>
      </c>
      <c r="B158" s="2">
        <v>45418</v>
      </c>
      <c r="C158" t="s">
        <v>12</v>
      </c>
      <c r="D158" t="s">
        <v>13</v>
      </c>
      <c r="E158" t="s">
        <v>39</v>
      </c>
      <c r="F158" t="s">
        <v>24</v>
      </c>
      <c r="G158" t="s">
        <v>16</v>
      </c>
      <c r="H158">
        <v>2</v>
      </c>
      <c r="I158" s="5">
        <v>40157</v>
      </c>
      <c r="J158" s="5">
        <v>80314</v>
      </c>
      <c r="K158" s="5">
        <v>55986.95</v>
      </c>
      <c r="L158" s="5">
        <v>24327.05</v>
      </c>
      <c r="M158" s="4">
        <f t="shared" si="2"/>
        <v>0.30289924546156338</v>
      </c>
    </row>
    <row r="159" spans="1:13" x14ac:dyDescent="0.35">
      <c r="A159">
        <v>2157</v>
      </c>
      <c r="B159" s="2">
        <v>45459</v>
      </c>
      <c r="C159" t="s">
        <v>31</v>
      </c>
      <c r="D159" t="s">
        <v>13</v>
      </c>
      <c r="E159" t="s">
        <v>39</v>
      </c>
      <c r="F159" t="s">
        <v>24</v>
      </c>
      <c r="G159" t="s">
        <v>30</v>
      </c>
      <c r="H159">
        <v>1</v>
      </c>
      <c r="I159" s="5">
        <v>59913</v>
      </c>
      <c r="J159" s="5">
        <v>59913</v>
      </c>
      <c r="K159" s="5">
        <v>41958.92</v>
      </c>
      <c r="L159" s="5">
        <v>17954.080000000002</v>
      </c>
      <c r="M159" s="4">
        <f t="shared" si="2"/>
        <v>0.29966918698779899</v>
      </c>
    </row>
    <row r="160" spans="1:13" x14ac:dyDescent="0.35">
      <c r="A160">
        <v>2158</v>
      </c>
      <c r="B160" s="2">
        <v>45410</v>
      </c>
      <c r="C160" t="s">
        <v>31</v>
      </c>
      <c r="D160" t="s">
        <v>32</v>
      </c>
      <c r="E160" t="s">
        <v>40</v>
      </c>
      <c r="F160" t="s">
        <v>15</v>
      </c>
      <c r="G160" t="s">
        <v>20</v>
      </c>
      <c r="H160">
        <v>1</v>
      </c>
      <c r="I160" s="5">
        <v>68806</v>
      </c>
      <c r="J160" s="5">
        <v>68806</v>
      </c>
      <c r="K160" s="5">
        <v>58360.639999999999</v>
      </c>
      <c r="L160" s="5">
        <v>10445.36</v>
      </c>
      <c r="M160" s="4">
        <f t="shared" si="2"/>
        <v>0.15180885387902218</v>
      </c>
    </row>
    <row r="161" spans="1:13" x14ac:dyDescent="0.35">
      <c r="A161">
        <v>2159</v>
      </c>
      <c r="B161" s="2">
        <v>45410</v>
      </c>
      <c r="C161" t="s">
        <v>26</v>
      </c>
      <c r="D161" t="s">
        <v>18</v>
      </c>
      <c r="E161" t="s">
        <v>19</v>
      </c>
      <c r="F161" t="s">
        <v>15</v>
      </c>
      <c r="G161" t="s">
        <v>16</v>
      </c>
      <c r="H161">
        <v>4</v>
      </c>
      <c r="I161" s="5">
        <v>57004</v>
      </c>
      <c r="J161" s="5">
        <v>228016</v>
      </c>
      <c r="K161" s="5">
        <v>150051.03</v>
      </c>
      <c r="L161" s="5">
        <v>77964.97</v>
      </c>
      <c r="M161" s="4">
        <f t="shared" si="2"/>
        <v>0.34192762788576242</v>
      </c>
    </row>
    <row r="162" spans="1:13" x14ac:dyDescent="0.35">
      <c r="A162">
        <v>2160</v>
      </c>
      <c r="B162" s="2">
        <v>45317</v>
      </c>
      <c r="C162" t="s">
        <v>12</v>
      </c>
      <c r="D162" t="s">
        <v>13</v>
      </c>
      <c r="E162" t="s">
        <v>39</v>
      </c>
      <c r="F162" t="s">
        <v>24</v>
      </c>
      <c r="G162" t="s">
        <v>25</v>
      </c>
      <c r="H162">
        <v>2</v>
      </c>
      <c r="I162" s="5">
        <v>33449</v>
      </c>
      <c r="J162" s="5">
        <v>66898</v>
      </c>
      <c r="K162" s="5">
        <v>55929.05</v>
      </c>
      <c r="L162" s="5">
        <v>10968.95</v>
      </c>
      <c r="M162" s="4">
        <f t="shared" si="2"/>
        <v>0.16396529044216571</v>
      </c>
    </row>
    <row r="163" spans="1:13" x14ac:dyDescent="0.35">
      <c r="A163">
        <v>2161</v>
      </c>
      <c r="B163" s="2">
        <v>45521</v>
      </c>
      <c r="C163" t="s">
        <v>31</v>
      </c>
      <c r="D163" t="s">
        <v>13</v>
      </c>
      <c r="E163" t="s">
        <v>14</v>
      </c>
      <c r="F163" t="s">
        <v>15</v>
      </c>
      <c r="G163" t="s">
        <v>30</v>
      </c>
      <c r="H163">
        <v>5</v>
      </c>
      <c r="I163" s="5">
        <v>42071</v>
      </c>
      <c r="J163" s="5">
        <v>210355</v>
      </c>
      <c r="K163" s="5">
        <v>169335.7</v>
      </c>
      <c r="L163" s="5">
        <v>41019.300000000003</v>
      </c>
      <c r="M163" s="4">
        <f t="shared" si="2"/>
        <v>0.19500035654013456</v>
      </c>
    </row>
    <row r="164" spans="1:13" x14ac:dyDescent="0.35">
      <c r="A164">
        <v>2162</v>
      </c>
      <c r="B164" s="2">
        <v>45597</v>
      </c>
      <c r="C164" t="s">
        <v>26</v>
      </c>
      <c r="D164" t="s">
        <v>18</v>
      </c>
      <c r="E164" t="s">
        <v>43</v>
      </c>
      <c r="F164" t="s">
        <v>24</v>
      </c>
      <c r="G164" t="s">
        <v>38</v>
      </c>
      <c r="H164">
        <v>5</v>
      </c>
      <c r="I164" s="5">
        <v>53835</v>
      </c>
      <c r="J164" s="5">
        <v>269175</v>
      </c>
      <c r="K164" s="5">
        <v>186680.69</v>
      </c>
      <c r="L164" s="5">
        <v>82494.31</v>
      </c>
      <c r="M164" s="4">
        <f t="shared" si="2"/>
        <v>0.30647092040494101</v>
      </c>
    </row>
    <row r="165" spans="1:13" x14ac:dyDescent="0.35">
      <c r="A165">
        <v>2163</v>
      </c>
      <c r="B165" s="2">
        <v>45314</v>
      </c>
      <c r="C165" t="s">
        <v>17</v>
      </c>
      <c r="D165" t="s">
        <v>13</v>
      </c>
      <c r="E165" t="s">
        <v>14</v>
      </c>
      <c r="F165" t="s">
        <v>15</v>
      </c>
      <c r="G165" t="s">
        <v>30</v>
      </c>
      <c r="H165">
        <v>2</v>
      </c>
      <c r="I165" s="5">
        <v>41412</v>
      </c>
      <c r="J165" s="5">
        <v>82824</v>
      </c>
      <c r="K165" s="5">
        <v>54468.97</v>
      </c>
      <c r="L165" s="5">
        <v>28355.03</v>
      </c>
      <c r="M165" s="4">
        <f t="shared" si="2"/>
        <v>0.34235282043852022</v>
      </c>
    </row>
    <row r="166" spans="1:13" x14ac:dyDescent="0.35">
      <c r="A166">
        <v>2164</v>
      </c>
      <c r="B166" s="2">
        <v>45459</v>
      </c>
      <c r="C166" t="s">
        <v>36</v>
      </c>
      <c r="D166" t="s">
        <v>32</v>
      </c>
      <c r="E166" t="s">
        <v>40</v>
      </c>
      <c r="F166" t="s">
        <v>15</v>
      </c>
      <c r="G166" t="s">
        <v>25</v>
      </c>
      <c r="H166">
        <v>4</v>
      </c>
      <c r="I166" s="5">
        <v>56733</v>
      </c>
      <c r="J166" s="5">
        <v>226932</v>
      </c>
      <c r="K166" s="5">
        <v>155908.87</v>
      </c>
      <c r="L166" s="5">
        <v>71023.13</v>
      </c>
      <c r="M166" s="4">
        <f t="shared" si="2"/>
        <v>0.31297097809035307</v>
      </c>
    </row>
    <row r="167" spans="1:13" x14ac:dyDescent="0.35">
      <c r="A167">
        <v>2165</v>
      </c>
      <c r="B167" s="2">
        <v>45308</v>
      </c>
      <c r="C167" t="s">
        <v>26</v>
      </c>
      <c r="D167" t="s">
        <v>13</v>
      </c>
      <c r="E167" t="s">
        <v>39</v>
      </c>
      <c r="F167" t="s">
        <v>24</v>
      </c>
      <c r="G167" t="s">
        <v>30</v>
      </c>
      <c r="H167">
        <v>4</v>
      </c>
      <c r="I167" s="5">
        <v>79833</v>
      </c>
      <c r="J167" s="5">
        <v>319332</v>
      </c>
      <c r="K167" s="5">
        <v>238445.65</v>
      </c>
      <c r="L167" s="5">
        <v>80886.350000000006</v>
      </c>
      <c r="M167" s="4">
        <f t="shared" si="2"/>
        <v>0.25329860458707554</v>
      </c>
    </row>
    <row r="168" spans="1:13" x14ac:dyDescent="0.35">
      <c r="A168">
        <v>2166</v>
      </c>
      <c r="B168" s="2">
        <v>45631</v>
      </c>
      <c r="C168" t="s">
        <v>26</v>
      </c>
      <c r="D168" t="s">
        <v>22</v>
      </c>
      <c r="E168" t="s">
        <v>23</v>
      </c>
      <c r="F168" t="s">
        <v>24</v>
      </c>
      <c r="G168" t="s">
        <v>16</v>
      </c>
      <c r="H168">
        <v>5</v>
      </c>
      <c r="I168" s="5">
        <v>28257</v>
      </c>
      <c r="J168" s="5">
        <v>141285</v>
      </c>
      <c r="K168" s="5">
        <v>109896.61</v>
      </c>
      <c r="L168" s="5">
        <v>31388.39</v>
      </c>
      <c r="M168" s="4">
        <f t="shared" si="2"/>
        <v>0.22216364086774959</v>
      </c>
    </row>
    <row r="169" spans="1:13" x14ac:dyDescent="0.35">
      <c r="A169">
        <v>2167</v>
      </c>
      <c r="B169" s="2">
        <v>45495</v>
      </c>
      <c r="C169" t="s">
        <v>34</v>
      </c>
      <c r="D169" t="s">
        <v>18</v>
      </c>
      <c r="E169" t="s">
        <v>19</v>
      </c>
      <c r="F169" t="s">
        <v>15</v>
      </c>
      <c r="G169" t="s">
        <v>30</v>
      </c>
      <c r="H169">
        <v>3</v>
      </c>
      <c r="I169" s="5">
        <v>61711</v>
      </c>
      <c r="J169" s="5">
        <v>185133</v>
      </c>
      <c r="K169" s="5">
        <v>156927.57</v>
      </c>
      <c r="L169" s="5">
        <v>28205.43</v>
      </c>
      <c r="M169" s="4">
        <f t="shared" si="2"/>
        <v>0.15235225486542109</v>
      </c>
    </row>
    <row r="170" spans="1:13" x14ac:dyDescent="0.35">
      <c r="A170">
        <v>2168</v>
      </c>
      <c r="B170" s="2">
        <v>45451</v>
      </c>
      <c r="C170" t="s">
        <v>21</v>
      </c>
      <c r="D170" t="s">
        <v>13</v>
      </c>
      <c r="E170" t="s">
        <v>39</v>
      </c>
      <c r="F170" t="s">
        <v>24</v>
      </c>
      <c r="G170" t="s">
        <v>25</v>
      </c>
      <c r="H170">
        <v>5</v>
      </c>
      <c r="I170" s="5">
        <v>54816</v>
      </c>
      <c r="J170" s="5">
        <v>274080</v>
      </c>
      <c r="K170" s="5">
        <v>200850.21</v>
      </c>
      <c r="L170" s="5">
        <v>73229.789999999994</v>
      </c>
      <c r="M170" s="4">
        <f t="shared" si="2"/>
        <v>0.26718399737302972</v>
      </c>
    </row>
    <row r="171" spans="1:13" x14ac:dyDescent="0.35">
      <c r="A171">
        <v>2169</v>
      </c>
      <c r="B171" s="2">
        <v>45621</v>
      </c>
      <c r="C171" t="s">
        <v>36</v>
      </c>
      <c r="D171" t="s">
        <v>18</v>
      </c>
      <c r="E171" t="s">
        <v>43</v>
      </c>
      <c r="F171" t="s">
        <v>24</v>
      </c>
      <c r="G171" t="s">
        <v>35</v>
      </c>
      <c r="H171">
        <v>2</v>
      </c>
      <c r="I171" s="5">
        <v>59213</v>
      </c>
      <c r="J171" s="5">
        <v>118426</v>
      </c>
      <c r="K171" s="5">
        <v>94220.479999999996</v>
      </c>
      <c r="L171" s="5">
        <v>24205.52</v>
      </c>
      <c r="M171" s="4">
        <f t="shared" si="2"/>
        <v>0.20439362977724487</v>
      </c>
    </row>
    <row r="172" spans="1:13" x14ac:dyDescent="0.35">
      <c r="A172">
        <v>2170</v>
      </c>
      <c r="B172" s="2">
        <v>45372</v>
      </c>
      <c r="C172" t="s">
        <v>26</v>
      </c>
      <c r="D172" t="s">
        <v>32</v>
      </c>
      <c r="E172" t="s">
        <v>40</v>
      </c>
      <c r="F172" t="s">
        <v>15</v>
      </c>
      <c r="G172" t="s">
        <v>16</v>
      </c>
      <c r="H172">
        <v>4</v>
      </c>
      <c r="I172" s="5">
        <v>22881</v>
      </c>
      <c r="J172" s="5">
        <v>91524</v>
      </c>
      <c r="K172" s="5">
        <v>74507.28</v>
      </c>
      <c r="L172" s="5">
        <v>17016.72</v>
      </c>
      <c r="M172" s="4">
        <f t="shared" si="2"/>
        <v>0.18592631440933527</v>
      </c>
    </row>
    <row r="173" spans="1:13" x14ac:dyDescent="0.35">
      <c r="A173">
        <v>2171</v>
      </c>
      <c r="B173" s="2">
        <v>45527</v>
      </c>
      <c r="C173" t="s">
        <v>31</v>
      </c>
      <c r="D173" t="s">
        <v>22</v>
      </c>
      <c r="E173" t="s">
        <v>23</v>
      </c>
      <c r="F173" t="s">
        <v>24</v>
      </c>
      <c r="G173" t="s">
        <v>35</v>
      </c>
      <c r="H173">
        <v>2</v>
      </c>
      <c r="I173" s="5">
        <v>25036</v>
      </c>
      <c r="J173" s="5">
        <v>50072</v>
      </c>
      <c r="K173" s="5">
        <v>32695.360000000001</v>
      </c>
      <c r="L173" s="5">
        <v>17376.64</v>
      </c>
      <c r="M173" s="4">
        <f t="shared" si="2"/>
        <v>0.34703307237577885</v>
      </c>
    </row>
    <row r="174" spans="1:13" x14ac:dyDescent="0.35">
      <c r="A174">
        <v>2172</v>
      </c>
      <c r="B174" s="2">
        <v>45495</v>
      </c>
      <c r="C174" t="s">
        <v>12</v>
      </c>
      <c r="D174" t="s">
        <v>41</v>
      </c>
      <c r="E174" t="s">
        <v>42</v>
      </c>
      <c r="F174" t="s">
        <v>24</v>
      </c>
      <c r="G174" t="s">
        <v>38</v>
      </c>
      <c r="H174">
        <v>1</v>
      </c>
      <c r="I174" s="5">
        <v>56607</v>
      </c>
      <c r="J174" s="5">
        <v>56607</v>
      </c>
      <c r="K174" s="5">
        <v>45141.24</v>
      </c>
      <c r="L174" s="5">
        <v>11465.76</v>
      </c>
      <c r="M174" s="4">
        <f t="shared" si="2"/>
        <v>0.20255021463776565</v>
      </c>
    </row>
    <row r="175" spans="1:13" x14ac:dyDescent="0.35">
      <c r="A175">
        <v>2173</v>
      </c>
      <c r="B175" s="2">
        <v>45437</v>
      </c>
      <c r="C175" t="s">
        <v>12</v>
      </c>
      <c r="D175" t="s">
        <v>32</v>
      </c>
      <c r="E175" t="s">
        <v>33</v>
      </c>
      <c r="F175" t="s">
        <v>24</v>
      </c>
      <c r="G175" t="s">
        <v>35</v>
      </c>
      <c r="H175">
        <v>2</v>
      </c>
      <c r="I175" s="5">
        <v>76309</v>
      </c>
      <c r="J175" s="5">
        <v>152618</v>
      </c>
      <c r="K175" s="5">
        <v>104445.21</v>
      </c>
      <c r="L175" s="5">
        <v>48172.79</v>
      </c>
      <c r="M175" s="4">
        <f t="shared" si="2"/>
        <v>0.31564291236944531</v>
      </c>
    </row>
    <row r="176" spans="1:13" x14ac:dyDescent="0.35">
      <c r="A176">
        <v>2174</v>
      </c>
      <c r="B176" s="2">
        <v>45543</v>
      </c>
      <c r="C176" t="s">
        <v>26</v>
      </c>
      <c r="D176" t="s">
        <v>18</v>
      </c>
      <c r="E176" t="s">
        <v>19</v>
      </c>
      <c r="F176" t="s">
        <v>15</v>
      </c>
      <c r="G176" t="s">
        <v>16</v>
      </c>
      <c r="H176">
        <v>2</v>
      </c>
      <c r="I176" s="5">
        <v>47533</v>
      </c>
      <c r="J176" s="5">
        <v>95066</v>
      </c>
      <c r="K176" s="5">
        <v>64200.93</v>
      </c>
      <c r="L176" s="5">
        <v>30865.07</v>
      </c>
      <c r="M176" s="4">
        <f t="shared" si="2"/>
        <v>0.32466991353375552</v>
      </c>
    </row>
    <row r="177" spans="1:13" x14ac:dyDescent="0.35">
      <c r="A177">
        <v>2175</v>
      </c>
      <c r="B177" s="2">
        <v>45319</v>
      </c>
      <c r="C177" t="s">
        <v>21</v>
      </c>
      <c r="D177" t="s">
        <v>18</v>
      </c>
      <c r="E177" t="s">
        <v>43</v>
      </c>
      <c r="F177" t="s">
        <v>24</v>
      </c>
      <c r="G177" t="s">
        <v>35</v>
      </c>
      <c r="H177">
        <v>5</v>
      </c>
      <c r="I177" s="5">
        <v>58842</v>
      </c>
      <c r="J177" s="5">
        <v>294210</v>
      </c>
      <c r="K177" s="5">
        <v>196314.23999999999</v>
      </c>
      <c r="L177" s="5">
        <v>97895.76</v>
      </c>
      <c r="M177" s="4">
        <f t="shared" si="2"/>
        <v>0.33274110329356582</v>
      </c>
    </row>
    <row r="178" spans="1:13" x14ac:dyDescent="0.35">
      <c r="A178">
        <v>2176</v>
      </c>
      <c r="B178" s="2">
        <v>45619</v>
      </c>
      <c r="C178" t="s">
        <v>34</v>
      </c>
      <c r="D178" t="s">
        <v>27</v>
      </c>
      <c r="E178" t="s">
        <v>28</v>
      </c>
      <c r="F178" t="s">
        <v>29</v>
      </c>
      <c r="G178" t="s">
        <v>30</v>
      </c>
      <c r="H178">
        <v>2</v>
      </c>
      <c r="I178" s="5">
        <v>61016</v>
      </c>
      <c r="J178" s="5">
        <v>122032</v>
      </c>
      <c r="K178" s="5">
        <v>94324.12</v>
      </c>
      <c r="L178" s="5">
        <v>27707.88</v>
      </c>
      <c r="M178" s="4">
        <f t="shared" si="2"/>
        <v>0.22705421528779338</v>
      </c>
    </row>
    <row r="179" spans="1:13" x14ac:dyDescent="0.35">
      <c r="A179">
        <v>2177</v>
      </c>
      <c r="B179" s="2">
        <v>45385</v>
      </c>
      <c r="C179" t="s">
        <v>36</v>
      </c>
      <c r="D179" t="s">
        <v>32</v>
      </c>
      <c r="E179" t="s">
        <v>40</v>
      </c>
      <c r="F179" t="s">
        <v>15</v>
      </c>
      <c r="G179" t="s">
        <v>16</v>
      </c>
      <c r="H179">
        <v>5</v>
      </c>
      <c r="I179" s="5">
        <v>36591</v>
      </c>
      <c r="J179" s="5">
        <v>182955</v>
      </c>
      <c r="K179" s="5">
        <v>120447.05</v>
      </c>
      <c r="L179" s="5">
        <v>62507.95</v>
      </c>
      <c r="M179" s="4">
        <f t="shared" si="2"/>
        <v>0.34165751140990952</v>
      </c>
    </row>
    <row r="180" spans="1:13" x14ac:dyDescent="0.35">
      <c r="A180">
        <v>2178</v>
      </c>
      <c r="B180" s="2">
        <v>45475</v>
      </c>
      <c r="C180" t="s">
        <v>12</v>
      </c>
      <c r="D180" t="s">
        <v>41</v>
      </c>
      <c r="E180" t="s">
        <v>42</v>
      </c>
      <c r="F180" t="s">
        <v>24</v>
      </c>
      <c r="G180" t="s">
        <v>16</v>
      </c>
      <c r="H180">
        <v>1</v>
      </c>
      <c r="I180" s="5">
        <v>27590</v>
      </c>
      <c r="J180" s="5">
        <v>27590</v>
      </c>
      <c r="K180" s="5">
        <v>19296.77</v>
      </c>
      <c r="L180" s="5">
        <v>8293.23</v>
      </c>
      <c r="M180" s="4">
        <f t="shared" si="2"/>
        <v>0.30058825661471544</v>
      </c>
    </row>
    <row r="181" spans="1:13" x14ac:dyDescent="0.35">
      <c r="A181">
        <v>2179</v>
      </c>
      <c r="B181" s="2">
        <v>45636</v>
      </c>
      <c r="C181" t="s">
        <v>26</v>
      </c>
      <c r="D181" t="s">
        <v>32</v>
      </c>
      <c r="E181" t="s">
        <v>40</v>
      </c>
      <c r="F181" t="s">
        <v>15</v>
      </c>
      <c r="G181" t="s">
        <v>20</v>
      </c>
      <c r="H181">
        <v>1</v>
      </c>
      <c r="I181" s="5">
        <v>50493</v>
      </c>
      <c r="J181" s="5">
        <v>50493</v>
      </c>
      <c r="K181" s="5">
        <v>34009.370000000003</v>
      </c>
      <c r="L181" s="5">
        <v>16483.63</v>
      </c>
      <c r="M181" s="4">
        <f t="shared" si="2"/>
        <v>0.32645376586853625</v>
      </c>
    </row>
    <row r="182" spans="1:13" x14ac:dyDescent="0.35">
      <c r="A182">
        <v>2180</v>
      </c>
      <c r="B182" s="2">
        <v>45613</v>
      </c>
      <c r="C182" t="s">
        <v>21</v>
      </c>
      <c r="D182" t="s">
        <v>27</v>
      </c>
      <c r="E182" t="s">
        <v>28</v>
      </c>
      <c r="F182" t="s">
        <v>29</v>
      </c>
      <c r="G182" t="s">
        <v>20</v>
      </c>
      <c r="H182">
        <v>3</v>
      </c>
      <c r="I182" s="5">
        <v>63059</v>
      </c>
      <c r="J182" s="5">
        <v>189177</v>
      </c>
      <c r="K182" s="5">
        <v>134626.35999999999</v>
      </c>
      <c r="L182" s="5">
        <v>54550.64</v>
      </c>
      <c r="M182" s="4">
        <f t="shared" si="2"/>
        <v>0.28835767561595754</v>
      </c>
    </row>
    <row r="183" spans="1:13" x14ac:dyDescent="0.35">
      <c r="A183">
        <v>2181</v>
      </c>
      <c r="B183" s="2">
        <v>45629</v>
      </c>
      <c r="C183" t="s">
        <v>21</v>
      </c>
      <c r="D183" t="s">
        <v>32</v>
      </c>
      <c r="E183" t="s">
        <v>40</v>
      </c>
      <c r="F183" t="s">
        <v>15</v>
      </c>
      <c r="G183" t="s">
        <v>16</v>
      </c>
      <c r="H183">
        <v>3</v>
      </c>
      <c r="I183" s="5">
        <v>66561</v>
      </c>
      <c r="J183" s="5">
        <v>199683</v>
      </c>
      <c r="K183" s="5">
        <v>149905.16</v>
      </c>
      <c r="L183" s="5">
        <v>49777.84</v>
      </c>
      <c r="M183" s="4">
        <f t="shared" si="2"/>
        <v>0.24928431564028986</v>
      </c>
    </row>
    <row r="184" spans="1:13" x14ac:dyDescent="0.35">
      <c r="A184">
        <v>2182</v>
      </c>
      <c r="B184" s="2">
        <v>45608</v>
      </c>
      <c r="C184" t="s">
        <v>26</v>
      </c>
      <c r="D184" t="s">
        <v>32</v>
      </c>
      <c r="E184" t="s">
        <v>33</v>
      </c>
      <c r="F184" t="s">
        <v>24</v>
      </c>
      <c r="G184" t="s">
        <v>25</v>
      </c>
      <c r="H184">
        <v>4</v>
      </c>
      <c r="I184" s="5">
        <v>68984</v>
      </c>
      <c r="J184" s="5">
        <v>275936</v>
      </c>
      <c r="K184" s="5">
        <v>192341.24</v>
      </c>
      <c r="L184" s="5">
        <v>83594.759999999995</v>
      </c>
      <c r="M184" s="4">
        <f t="shared" si="2"/>
        <v>0.30294981444972746</v>
      </c>
    </row>
    <row r="185" spans="1:13" x14ac:dyDescent="0.35">
      <c r="A185">
        <v>2183</v>
      </c>
      <c r="B185" s="2">
        <v>45383</v>
      </c>
      <c r="C185" t="s">
        <v>36</v>
      </c>
      <c r="D185" t="s">
        <v>27</v>
      </c>
      <c r="E185" t="s">
        <v>28</v>
      </c>
      <c r="F185" t="s">
        <v>29</v>
      </c>
      <c r="G185" t="s">
        <v>16</v>
      </c>
      <c r="H185">
        <v>4</v>
      </c>
      <c r="I185" s="5">
        <v>60473</v>
      </c>
      <c r="J185" s="5">
        <v>241892</v>
      </c>
      <c r="K185" s="5">
        <v>162409.97</v>
      </c>
      <c r="L185" s="5">
        <v>79482.03</v>
      </c>
      <c r="M185" s="4">
        <f t="shared" si="2"/>
        <v>0.32858478163808641</v>
      </c>
    </row>
    <row r="186" spans="1:13" x14ac:dyDescent="0.35">
      <c r="A186">
        <v>2184</v>
      </c>
      <c r="B186" s="2">
        <v>45479</v>
      </c>
      <c r="C186" t="s">
        <v>17</v>
      </c>
      <c r="D186" t="s">
        <v>32</v>
      </c>
      <c r="E186" t="s">
        <v>33</v>
      </c>
      <c r="F186" t="s">
        <v>24</v>
      </c>
      <c r="G186" t="s">
        <v>16</v>
      </c>
      <c r="H186">
        <v>1</v>
      </c>
      <c r="I186" s="5">
        <v>65929</v>
      </c>
      <c r="J186" s="5">
        <v>65929</v>
      </c>
      <c r="K186" s="5">
        <v>49504</v>
      </c>
      <c r="L186" s="5">
        <v>16425</v>
      </c>
      <c r="M186" s="4">
        <f t="shared" si="2"/>
        <v>0.24913164161446405</v>
      </c>
    </row>
    <row r="187" spans="1:13" x14ac:dyDescent="0.35">
      <c r="A187">
        <v>2185</v>
      </c>
      <c r="B187" s="2">
        <v>45358</v>
      </c>
      <c r="C187" t="s">
        <v>26</v>
      </c>
      <c r="D187" t="s">
        <v>18</v>
      </c>
      <c r="E187" t="s">
        <v>43</v>
      </c>
      <c r="F187" t="s">
        <v>24</v>
      </c>
      <c r="G187" t="s">
        <v>38</v>
      </c>
      <c r="H187">
        <v>1</v>
      </c>
      <c r="I187" s="5">
        <v>49120</v>
      </c>
      <c r="J187" s="5">
        <v>49120</v>
      </c>
      <c r="K187" s="5">
        <v>39567.5</v>
      </c>
      <c r="L187" s="5">
        <v>9552.5</v>
      </c>
      <c r="M187" s="4">
        <f t="shared" si="2"/>
        <v>0.19447271986970685</v>
      </c>
    </row>
    <row r="188" spans="1:13" x14ac:dyDescent="0.35">
      <c r="A188">
        <v>2186</v>
      </c>
      <c r="B188" s="2">
        <v>45550</v>
      </c>
      <c r="C188" t="s">
        <v>26</v>
      </c>
      <c r="D188" t="s">
        <v>41</v>
      </c>
      <c r="E188" t="s">
        <v>42</v>
      </c>
      <c r="F188" t="s">
        <v>24</v>
      </c>
      <c r="G188" t="s">
        <v>25</v>
      </c>
      <c r="H188">
        <v>4</v>
      </c>
      <c r="I188" s="5">
        <v>25850</v>
      </c>
      <c r="J188" s="5">
        <v>103400</v>
      </c>
      <c r="K188" s="5">
        <v>67744.710000000006</v>
      </c>
      <c r="L188" s="5">
        <v>35655.29</v>
      </c>
      <c r="M188" s="4">
        <f t="shared" si="2"/>
        <v>0.34482872340425536</v>
      </c>
    </row>
    <row r="189" spans="1:13" x14ac:dyDescent="0.35">
      <c r="A189">
        <v>2187</v>
      </c>
      <c r="B189" s="2">
        <v>45646</v>
      </c>
      <c r="C189" t="s">
        <v>31</v>
      </c>
      <c r="D189" t="s">
        <v>18</v>
      </c>
      <c r="E189" t="s">
        <v>19</v>
      </c>
      <c r="F189" t="s">
        <v>15</v>
      </c>
      <c r="G189" t="s">
        <v>38</v>
      </c>
      <c r="H189">
        <v>1</v>
      </c>
      <c r="I189" s="5">
        <v>33389</v>
      </c>
      <c r="J189" s="5">
        <v>33389</v>
      </c>
      <c r="K189" s="5">
        <v>22581.77</v>
      </c>
      <c r="L189" s="5">
        <v>10807.23</v>
      </c>
      <c r="M189" s="4">
        <f t="shared" si="2"/>
        <v>0.32367636047800175</v>
      </c>
    </row>
    <row r="190" spans="1:13" x14ac:dyDescent="0.35">
      <c r="A190">
        <v>2188</v>
      </c>
      <c r="B190" s="2">
        <v>45643</v>
      </c>
      <c r="C190" t="s">
        <v>17</v>
      </c>
      <c r="D190" t="s">
        <v>22</v>
      </c>
      <c r="E190" t="s">
        <v>37</v>
      </c>
      <c r="F190" t="s">
        <v>24</v>
      </c>
      <c r="G190" t="s">
        <v>30</v>
      </c>
      <c r="H190">
        <v>2</v>
      </c>
      <c r="I190" s="5">
        <v>16587</v>
      </c>
      <c r="J190" s="5">
        <v>33174</v>
      </c>
      <c r="K190" s="5">
        <v>27090.13</v>
      </c>
      <c r="L190" s="5">
        <v>6083.87</v>
      </c>
      <c r="M190" s="4">
        <f t="shared" si="2"/>
        <v>0.18339271718815939</v>
      </c>
    </row>
    <row r="191" spans="1:13" x14ac:dyDescent="0.35">
      <c r="A191">
        <v>2189</v>
      </c>
      <c r="B191" s="2">
        <v>45373</v>
      </c>
      <c r="C191" t="s">
        <v>36</v>
      </c>
      <c r="D191" t="s">
        <v>27</v>
      </c>
      <c r="E191" t="s">
        <v>28</v>
      </c>
      <c r="F191" t="s">
        <v>29</v>
      </c>
      <c r="G191" t="s">
        <v>35</v>
      </c>
      <c r="H191">
        <v>3</v>
      </c>
      <c r="I191" s="5">
        <v>44043</v>
      </c>
      <c r="J191" s="5">
        <v>132129</v>
      </c>
      <c r="K191" s="5">
        <v>109800.84</v>
      </c>
      <c r="L191" s="5">
        <v>22328.16</v>
      </c>
      <c r="M191" s="4">
        <f t="shared" si="2"/>
        <v>0.16898758031923347</v>
      </c>
    </row>
    <row r="192" spans="1:13" x14ac:dyDescent="0.35">
      <c r="A192">
        <v>2190</v>
      </c>
      <c r="B192" s="2">
        <v>45549</v>
      </c>
      <c r="C192" t="s">
        <v>12</v>
      </c>
      <c r="D192" t="s">
        <v>22</v>
      </c>
      <c r="E192" t="s">
        <v>37</v>
      </c>
      <c r="F192" t="s">
        <v>24</v>
      </c>
      <c r="G192" t="s">
        <v>35</v>
      </c>
      <c r="H192">
        <v>4</v>
      </c>
      <c r="I192" s="5">
        <v>35305</v>
      </c>
      <c r="J192" s="5">
        <v>141220</v>
      </c>
      <c r="K192" s="5">
        <v>108510.28</v>
      </c>
      <c r="L192" s="5">
        <v>32709.72</v>
      </c>
      <c r="M192" s="4">
        <f t="shared" si="2"/>
        <v>0.23162243308313271</v>
      </c>
    </row>
    <row r="193" spans="1:13" x14ac:dyDescent="0.35">
      <c r="A193">
        <v>2191</v>
      </c>
      <c r="B193" s="2">
        <v>45455</v>
      </c>
      <c r="C193" t="s">
        <v>31</v>
      </c>
      <c r="D193" t="s">
        <v>27</v>
      </c>
      <c r="E193" t="s">
        <v>28</v>
      </c>
      <c r="F193" t="s">
        <v>29</v>
      </c>
      <c r="G193" t="s">
        <v>30</v>
      </c>
      <c r="H193">
        <v>3</v>
      </c>
      <c r="I193" s="5">
        <v>12827</v>
      </c>
      <c r="J193" s="5">
        <v>38481</v>
      </c>
      <c r="K193" s="5">
        <v>26543.75</v>
      </c>
      <c r="L193" s="5">
        <v>11937.25</v>
      </c>
      <c r="M193" s="4">
        <f t="shared" si="2"/>
        <v>0.31021153296432008</v>
      </c>
    </row>
    <row r="194" spans="1:13" x14ac:dyDescent="0.35">
      <c r="A194">
        <v>2192</v>
      </c>
      <c r="B194" s="2">
        <v>45434</v>
      </c>
      <c r="C194" t="s">
        <v>12</v>
      </c>
      <c r="D194" t="s">
        <v>22</v>
      </c>
      <c r="E194" t="s">
        <v>23</v>
      </c>
      <c r="F194" t="s">
        <v>24</v>
      </c>
      <c r="G194" t="s">
        <v>38</v>
      </c>
      <c r="H194">
        <v>3</v>
      </c>
      <c r="I194" s="5">
        <v>57393</v>
      </c>
      <c r="J194" s="5">
        <v>172179</v>
      </c>
      <c r="K194" s="5">
        <v>117727.12</v>
      </c>
      <c r="L194" s="5">
        <v>54451.88</v>
      </c>
      <c r="M194" s="4">
        <f t="shared" si="2"/>
        <v>0.31625157539537341</v>
      </c>
    </row>
    <row r="195" spans="1:13" x14ac:dyDescent="0.35">
      <c r="A195">
        <v>2193</v>
      </c>
      <c r="B195" s="2">
        <v>45316</v>
      </c>
      <c r="C195" t="s">
        <v>26</v>
      </c>
      <c r="D195" t="s">
        <v>13</v>
      </c>
      <c r="E195" t="s">
        <v>39</v>
      </c>
      <c r="F195" t="s">
        <v>24</v>
      </c>
      <c r="G195" t="s">
        <v>20</v>
      </c>
      <c r="H195">
        <v>3</v>
      </c>
      <c r="I195" s="5">
        <v>67380</v>
      </c>
      <c r="J195" s="5">
        <v>202140</v>
      </c>
      <c r="K195" s="5">
        <v>153835.82</v>
      </c>
      <c r="L195" s="5">
        <v>48304.18</v>
      </c>
      <c r="M195" s="4">
        <f t="shared" ref="M195:M258" si="3">L195/J195</f>
        <v>0.23896398535668348</v>
      </c>
    </row>
    <row r="196" spans="1:13" x14ac:dyDescent="0.35">
      <c r="A196">
        <v>2194</v>
      </c>
      <c r="B196" s="2">
        <v>45421</v>
      </c>
      <c r="C196" t="s">
        <v>34</v>
      </c>
      <c r="D196" t="s">
        <v>27</v>
      </c>
      <c r="E196" t="s">
        <v>28</v>
      </c>
      <c r="F196" t="s">
        <v>29</v>
      </c>
      <c r="G196" t="s">
        <v>25</v>
      </c>
      <c r="H196">
        <v>5</v>
      </c>
      <c r="I196" s="5">
        <v>59675</v>
      </c>
      <c r="J196" s="5">
        <v>298375</v>
      </c>
      <c r="K196" s="5">
        <v>237979.31</v>
      </c>
      <c r="L196" s="5">
        <v>60395.69</v>
      </c>
      <c r="M196" s="4">
        <f t="shared" si="3"/>
        <v>0.20241538332635109</v>
      </c>
    </row>
    <row r="197" spans="1:13" x14ac:dyDescent="0.35">
      <c r="A197">
        <v>2195</v>
      </c>
      <c r="B197" s="2">
        <v>45480</v>
      </c>
      <c r="C197" t="s">
        <v>17</v>
      </c>
      <c r="D197" t="s">
        <v>13</v>
      </c>
      <c r="E197" t="s">
        <v>14</v>
      </c>
      <c r="F197" t="s">
        <v>15</v>
      </c>
      <c r="G197" t="s">
        <v>16</v>
      </c>
      <c r="H197">
        <v>5</v>
      </c>
      <c r="I197" s="5">
        <v>27162</v>
      </c>
      <c r="J197" s="5">
        <v>135810</v>
      </c>
      <c r="K197" s="5">
        <v>98061.65</v>
      </c>
      <c r="L197" s="5">
        <v>37748.35</v>
      </c>
      <c r="M197" s="4">
        <f t="shared" si="3"/>
        <v>0.27794970915249245</v>
      </c>
    </row>
    <row r="198" spans="1:13" x14ac:dyDescent="0.35">
      <c r="A198">
        <v>2196</v>
      </c>
      <c r="B198" s="2">
        <v>45382</v>
      </c>
      <c r="C198" t="s">
        <v>21</v>
      </c>
      <c r="D198" t="s">
        <v>18</v>
      </c>
      <c r="E198" t="s">
        <v>19</v>
      </c>
      <c r="F198" t="s">
        <v>15</v>
      </c>
      <c r="G198" t="s">
        <v>30</v>
      </c>
      <c r="H198">
        <v>5</v>
      </c>
      <c r="I198" s="5">
        <v>14329</v>
      </c>
      <c r="J198" s="5">
        <v>71645</v>
      </c>
      <c r="K198" s="5">
        <v>50816.13</v>
      </c>
      <c r="L198" s="5">
        <v>20828.87</v>
      </c>
      <c r="M198" s="4">
        <f t="shared" si="3"/>
        <v>0.29072328843603878</v>
      </c>
    </row>
    <row r="199" spans="1:13" x14ac:dyDescent="0.35">
      <c r="A199">
        <v>2197</v>
      </c>
      <c r="B199" s="2">
        <v>45619</v>
      </c>
      <c r="C199" t="s">
        <v>17</v>
      </c>
      <c r="D199" t="s">
        <v>41</v>
      </c>
      <c r="E199" t="s">
        <v>42</v>
      </c>
      <c r="F199" t="s">
        <v>24</v>
      </c>
      <c r="G199" t="s">
        <v>35</v>
      </c>
      <c r="H199">
        <v>5</v>
      </c>
      <c r="I199" s="5">
        <v>48979</v>
      </c>
      <c r="J199" s="5">
        <v>244895</v>
      </c>
      <c r="K199" s="5">
        <v>195085.26</v>
      </c>
      <c r="L199" s="5">
        <v>49809.74</v>
      </c>
      <c r="M199" s="4">
        <f t="shared" si="3"/>
        <v>0.20339222932277098</v>
      </c>
    </row>
    <row r="200" spans="1:13" x14ac:dyDescent="0.35">
      <c r="A200">
        <v>2198</v>
      </c>
      <c r="B200" s="2">
        <v>45440</v>
      </c>
      <c r="C200" t="s">
        <v>12</v>
      </c>
      <c r="D200" t="s">
        <v>18</v>
      </c>
      <c r="E200" t="s">
        <v>43</v>
      </c>
      <c r="F200" t="s">
        <v>24</v>
      </c>
      <c r="G200" t="s">
        <v>30</v>
      </c>
      <c r="H200">
        <v>5</v>
      </c>
      <c r="I200" s="5">
        <v>64653</v>
      </c>
      <c r="J200" s="5">
        <v>323265</v>
      </c>
      <c r="K200" s="5">
        <v>237126.97</v>
      </c>
      <c r="L200" s="5">
        <v>86138.03</v>
      </c>
      <c r="M200" s="4">
        <f t="shared" si="3"/>
        <v>0.26646259260977834</v>
      </c>
    </row>
    <row r="201" spans="1:13" x14ac:dyDescent="0.35">
      <c r="A201">
        <v>2199</v>
      </c>
      <c r="B201" s="2">
        <v>45542</v>
      </c>
      <c r="C201" t="s">
        <v>26</v>
      </c>
      <c r="D201" t="s">
        <v>13</v>
      </c>
      <c r="E201" t="s">
        <v>14</v>
      </c>
      <c r="F201" t="s">
        <v>15</v>
      </c>
      <c r="G201" t="s">
        <v>30</v>
      </c>
      <c r="H201">
        <v>2</v>
      </c>
      <c r="I201" s="5">
        <v>13974</v>
      </c>
      <c r="J201" s="5">
        <v>27948</v>
      </c>
      <c r="K201" s="5">
        <v>18290.79</v>
      </c>
      <c r="L201" s="5">
        <v>9657.2099999999991</v>
      </c>
      <c r="M201" s="4">
        <f t="shared" si="3"/>
        <v>0.34554207814512661</v>
      </c>
    </row>
    <row r="202" spans="1:13" x14ac:dyDescent="0.35">
      <c r="A202">
        <v>2200</v>
      </c>
      <c r="B202" s="2">
        <v>45447</v>
      </c>
      <c r="C202" t="s">
        <v>31</v>
      </c>
      <c r="D202" t="s">
        <v>18</v>
      </c>
      <c r="E202" t="s">
        <v>43</v>
      </c>
      <c r="F202" t="s">
        <v>24</v>
      </c>
      <c r="G202" t="s">
        <v>35</v>
      </c>
      <c r="H202">
        <v>1</v>
      </c>
      <c r="I202" s="5">
        <v>76562</v>
      </c>
      <c r="J202" s="5">
        <v>76562</v>
      </c>
      <c r="K202" s="5">
        <v>55234.15</v>
      </c>
      <c r="L202" s="5">
        <v>21327.85</v>
      </c>
      <c r="M202" s="4">
        <f t="shared" si="3"/>
        <v>0.27856965596510014</v>
      </c>
    </row>
    <row r="203" spans="1:13" x14ac:dyDescent="0.35">
      <c r="A203">
        <v>2201</v>
      </c>
      <c r="B203" s="2">
        <v>45446</v>
      </c>
      <c r="C203" t="s">
        <v>21</v>
      </c>
      <c r="D203" t="s">
        <v>32</v>
      </c>
      <c r="E203" t="s">
        <v>40</v>
      </c>
      <c r="F203" t="s">
        <v>15</v>
      </c>
      <c r="G203" t="s">
        <v>20</v>
      </c>
      <c r="H203">
        <v>5</v>
      </c>
      <c r="I203" s="5">
        <v>25527</v>
      </c>
      <c r="J203" s="5">
        <v>127635</v>
      </c>
      <c r="K203" s="5">
        <v>88174.96</v>
      </c>
      <c r="L203" s="5">
        <v>39460.04</v>
      </c>
      <c r="M203" s="4">
        <f t="shared" si="3"/>
        <v>0.30916316057507737</v>
      </c>
    </row>
    <row r="204" spans="1:13" x14ac:dyDescent="0.35">
      <c r="A204">
        <v>2202</v>
      </c>
      <c r="B204" s="2">
        <v>45373</v>
      </c>
      <c r="C204" t="s">
        <v>36</v>
      </c>
      <c r="D204" t="s">
        <v>27</v>
      </c>
      <c r="E204" t="s">
        <v>28</v>
      </c>
      <c r="F204" t="s">
        <v>29</v>
      </c>
      <c r="G204" t="s">
        <v>16</v>
      </c>
      <c r="H204">
        <v>2</v>
      </c>
      <c r="I204" s="5">
        <v>9849</v>
      </c>
      <c r="J204" s="5">
        <v>19698</v>
      </c>
      <c r="K204" s="5">
        <v>16493.490000000002</v>
      </c>
      <c r="L204" s="5">
        <v>3204.51</v>
      </c>
      <c r="M204" s="4">
        <f t="shared" si="3"/>
        <v>0.16268199817240331</v>
      </c>
    </row>
    <row r="205" spans="1:13" x14ac:dyDescent="0.35">
      <c r="A205">
        <v>2203</v>
      </c>
      <c r="B205" s="2">
        <v>45522</v>
      </c>
      <c r="C205" t="s">
        <v>34</v>
      </c>
      <c r="D205" t="s">
        <v>32</v>
      </c>
      <c r="E205" t="s">
        <v>40</v>
      </c>
      <c r="F205" t="s">
        <v>15</v>
      </c>
      <c r="G205" t="s">
        <v>30</v>
      </c>
      <c r="H205">
        <v>1</v>
      </c>
      <c r="I205" s="5">
        <v>16345</v>
      </c>
      <c r="J205" s="5">
        <v>16345</v>
      </c>
      <c r="K205" s="5">
        <v>12710.56</v>
      </c>
      <c r="L205" s="5">
        <v>3634.44</v>
      </c>
      <c r="M205" s="4">
        <f t="shared" si="3"/>
        <v>0.22235790761700827</v>
      </c>
    </row>
    <row r="206" spans="1:13" x14ac:dyDescent="0.35">
      <c r="A206">
        <v>2204</v>
      </c>
      <c r="B206" s="2">
        <v>45297</v>
      </c>
      <c r="C206" t="s">
        <v>21</v>
      </c>
      <c r="D206" t="s">
        <v>13</v>
      </c>
      <c r="E206" t="s">
        <v>39</v>
      </c>
      <c r="F206" t="s">
        <v>24</v>
      </c>
      <c r="G206" t="s">
        <v>35</v>
      </c>
      <c r="H206">
        <v>1</v>
      </c>
      <c r="I206" s="5">
        <v>53918</v>
      </c>
      <c r="J206" s="5">
        <v>53918</v>
      </c>
      <c r="K206" s="5">
        <v>41459.97</v>
      </c>
      <c r="L206" s="5">
        <v>12458.03</v>
      </c>
      <c r="M206" s="4">
        <f t="shared" si="3"/>
        <v>0.23105512073889983</v>
      </c>
    </row>
    <row r="207" spans="1:13" x14ac:dyDescent="0.35">
      <c r="A207">
        <v>2205</v>
      </c>
      <c r="B207" s="2">
        <v>45557</v>
      </c>
      <c r="C207" t="s">
        <v>21</v>
      </c>
      <c r="D207" t="s">
        <v>27</v>
      </c>
      <c r="E207" t="s">
        <v>28</v>
      </c>
      <c r="F207" t="s">
        <v>29</v>
      </c>
      <c r="G207" t="s">
        <v>20</v>
      </c>
      <c r="H207">
        <v>4</v>
      </c>
      <c r="I207" s="5">
        <v>40571</v>
      </c>
      <c r="J207" s="5">
        <v>162284</v>
      </c>
      <c r="K207" s="5">
        <v>110843.19</v>
      </c>
      <c r="L207" s="5">
        <v>51440.81</v>
      </c>
      <c r="M207" s="4">
        <f t="shared" si="3"/>
        <v>0.31698017056518202</v>
      </c>
    </row>
    <row r="208" spans="1:13" x14ac:dyDescent="0.35">
      <c r="A208">
        <v>2206</v>
      </c>
      <c r="B208" s="2">
        <v>45564</v>
      </c>
      <c r="C208" t="s">
        <v>26</v>
      </c>
      <c r="D208" t="s">
        <v>18</v>
      </c>
      <c r="E208" t="s">
        <v>43</v>
      </c>
      <c r="F208" t="s">
        <v>24</v>
      </c>
      <c r="G208" t="s">
        <v>25</v>
      </c>
      <c r="H208">
        <v>1</v>
      </c>
      <c r="I208" s="5">
        <v>61213</v>
      </c>
      <c r="J208" s="5">
        <v>61213</v>
      </c>
      <c r="K208" s="5">
        <v>42061.39</v>
      </c>
      <c r="L208" s="5">
        <v>19151.61</v>
      </c>
      <c r="M208" s="4">
        <f t="shared" si="3"/>
        <v>0.31286834495940408</v>
      </c>
    </row>
    <row r="209" spans="1:13" x14ac:dyDescent="0.35">
      <c r="A209">
        <v>2207</v>
      </c>
      <c r="B209" s="2">
        <v>45298</v>
      </c>
      <c r="C209" t="s">
        <v>26</v>
      </c>
      <c r="D209" t="s">
        <v>32</v>
      </c>
      <c r="E209" t="s">
        <v>33</v>
      </c>
      <c r="F209" t="s">
        <v>24</v>
      </c>
      <c r="G209" t="s">
        <v>25</v>
      </c>
      <c r="H209">
        <v>5</v>
      </c>
      <c r="I209" s="5">
        <v>33855</v>
      </c>
      <c r="J209" s="5">
        <v>169275</v>
      </c>
      <c r="K209" s="5">
        <v>114845.18</v>
      </c>
      <c r="L209" s="5">
        <v>54429.82</v>
      </c>
      <c r="M209" s="4">
        <f t="shared" si="3"/>
        <v>0.32154671392704182</v>
      </c>
    </row>
    <row r="210" spans="1:13" x14ac:dyDescent="0.35">
      <c r="A210">
        <v>2208</v>
      </c>
      <c r="B210" s="2">
        <v>45621</v>
      </c>
      <c r="C210" t="s">
        <v>31</v>
      </c>
      <c r="D210" t="s">
        <v>32</v>
      </c>
      <c r="E210" t="s">
        <v>40</v>
      </c>
      <c r="F210" t="s">
        <v>15</v>
      </c>
      <c r="G210" t="s">
        <v>20</v>
      </c>
      <c r="H210">
        <v>5</v>
      </c>
      <c r="I210" s="5">
        <v>62426</v>
      </c>
      <c r="J210" s="5">
        <v>312130</v>
      </c>
      <c r="K210" s="5">
        <v>253660.61</v>
      </c>
      <c r="L210" s="5">
        <v>58469.39</v>
      </c>
      <c r="M210" s="4">
        <f t="shared" si="3"/>
        <v>0.18732383942588024</v>
      </c>
    </row>
    <row r="211" spans="1:13" x14ac:dyDescent="0.35">
      <c r="A211">
        <v>2209</v>
      </c>
      <c r="B211" s="2">
        <v>45324</v>
      </c>
      <c r="C211" t="s">
        <v>31</v>
      </c>
      <c r="D211" t="s">
        <v>32</v>
      </c>
      <c r="E211" t="s">
        <v>33</v>
      </c>
      <c r="F211" t="s">
        <v>24</v>
      </c>
      <c r="G211" t="s">
        <v>35</v>
      </c>
      <c r="H211">
        <v>3</v>
      </c>
      <c r="I211" s="5">
        <v>14355</v>
      </c>
      <c r="J211" s="5">
        <v>43065</v>
      </c>
      <c r="K211" s="5">
        <v>36554.1</v>
      </c>
      <c r="L211" s="5">
        <v>6510.9</v>
      </c>
      <c r="M211" s="4">
        <f t="shared" si="3"/>
        <v>0.15118773946360153</v>
      </c>
    </row>
    <row r="212" spans="1:13" x14ac:dyDescent="0.35">
      <c r="A212">
        <v>2210</v>
      </c>
      <c r="B212" s="2">
        <v>45295</v>
      </c>
      <c r="C212" t="s">
        <v>34</v>
      </c>
      <c r="D212" t="s">
        <v>22</v>
      </c>
      <c r="E212" t="s">
        <v>37</v>
      </c>
      <c r="F212" t="s">
        <v>24</v>
      </c>
      <c r="G212" t="s">
        <v>20</v>
      </c>
      <c r="H212">
        <v>4</v>
      </c>
      <c r="I212" s="5">
        <v>65232</v>
      </c>
      <c r="J212" s="5">
        <v>260928</v>
      </c>
      <c r="K212" s="5">
        <v>208491.25</v>
      </c>
      <c r="L212" s="5">
        <v>52436.75</v>
      </c>
      <c r="M212" s="4">
        <f t="shared" si="3"/>
        <v>0.20096252606082904</v>
      </c>
    </row>
    <row r="213" spans="1:13" x14ac:dyDescent="0.35">
      <c r="A213">
        <v>2211</v>
      </c>
      <c r="B213" s="2">
        <v>45627</v>
      </c>
      <c r="C213" t="s">
        <v>26</v>
      </c>
      <c r="D213" t="s">
        <v>22</v>
      </c>
      <c r="E213" t="s">
        <v>37</v>
      </c>
      <c r="F213" t="s">
        <v>24</v>
      </c>
      <c r="G213" t="s">
        <v>38</v>
      </c>
      <c r="H213">
        <v>4</v>
      </c>
      <c r="I213" s="5">
        <v>30988</v>
      </c>
      <c r="J213" s="5">
        <v>123952</v>
      </c>
      <c r="K213" s="5">
        <v>86170.15</v>
      </c>
      <c r="L213" s="5">
        <v>37781.85</v>
      </c>
      <c r="M213" s="4">
        <f t="shared" si="3"/>
        <v>0.30481032980508582</v>
      </c>
    </row>
    <row r="214" spans="1:13" x14ac:dyDescent="0.35">
      <c r="A214">
        <v>2212</v>
      </c>
      <c r="B214" s="2">
        <v>45621</v>
      </c>
      <c r="C214" t="s">
        <v>17</v>
      </c>
      <c r="D214" t="s">
        <v>18</v>
      </c>
      <c r="E214" t="s">
        <v>19</v>
      </c>
      <c r="F214" t="s">
        <v>15</v>
      </c>
      <c r="G214" t="s">
        <v>30</v>
      </c>
      <c r="H214">
        <v>1</v>
      </c>
      <c r="I214" s="5">
        <v>24156</v>
      </c>
      <c r="J214" s="5">
        <v>24156</v>
      </c>
      <c r="K214" s="5">
        <v>17322.349999999999</v>
      </c>
      <c r="L214" s="5">
        <v>6833.65</v>
      </c>
      <c r="M214" s="4">
        <f t="shared" si="3"/>
        <v>0.28289658883921176</v>
      </c>
    </row>
    <row r="215" spans="1:13" x14ac:dyDescent="0.35">
      <c r="A215">
        <v>2213</v>
      </c>
      <c r="B215" s="2">
        <v>45428</v>
      </c>
      <c r="C215" t="s">
        <v>34</v>
      </c>
      <c r="D215" t="s">
        <v>13</v>
      </c>
      <c r="E215" t="s">
        <v>39</v>
      </c>
      <c r="F215" t="s">
        <v>24</v>
      </c>
      <c r="G215" t="s">
        <v>25</v>
      </c>
      <c r="H215">
        <v>5</v>
      </c>
      <c r="I215" s="5">
        <v>65154</v>
      </c>
      <c r="J215" s="5">
        <v>325770</v>
      </c>
      <c r="K215" s="5">
        <v>256428.79</v>
      </c>
      <c r="L215" s="5">
        <v>69341.210000000006</v>
      </c>
      <c r="M215" s="4">
        <f t="shared" si="3"/>
        <v>0.21285327071246588</v>
      </c>
    </row>
    <row r="216" spans="1:13" x14ac:dyDescent="0.35">
      <c r="A216">
        <v>2214</v>
      </c>
      <c r="B216" s="2">
        <v>45620</v>
      </c>
      <c r="C216" t="s">
        <v>17</v>
      </c>
      <c r="D216" t="s">
        <v>41</v>
      </c>
      <c r="E216" t="s">
        <v>42</v>
      </c>
      <c r="F216" t="s">
        <v>24</v>
      </c>
      <c r="G216" t="s">
        <v>35</v>
      </c>
      <c r="H216">
        <v>2</v>
      </c>
      <c r="I216" s="5">
        <v>19196</v>
      </c>
      <c r="J216" s="5">
        <v>38392</v>
      </c>
      <c r="K216" s="5">
        <v>31712.14</v>
      </c>
      <c r="L216" s="5">
        <v>6679.86</v>
      </c>
      <c r="M216" s="4">
        <f t="shared" si="3"/>
        <v>0.17399093561158574</v>
      </c>
    </row>
    <row r="217" spans="1:13" x14ac:dyDescent="0.35">
      <c r="A217">
        <v>2215</v>
      </c>
      <c r="B217" s="2">
        <v>45412</v>
      </c>
      <c r="C217" t="s">
        <v>12</v>
      </c>
      <c r="D217" t="s">
        <v>18</v>
      </c>
      <c r="E217" t="s">
        <v>43</v>
      </c>
      <c r="F217" t="s">
        <v>24</v>
      </c>
      <c r="G217" t="s">
        <v>35</v>
      </c>
      <c r="H217">
        <v>2</v>
      </c>
      <c r="I217" s="5">
        <v>28864</v>
      </c>
      <c r="J217" s="5">
        <v>57728</v>
      </c>
      <c r="K217" s="5">
        <v>46137.97</v>
      </c>
      <c r="L217" s="5">
        <v>11590.03</v>
      </c>
      <c r="M217" s="4">
        <f t="shared" si="3"/>
        <v>0.20076964384700666</v>
      </c>
    </row>
    <row r="218" spans="1:13" x14ac:dyDescent="0.35">
      <c r="A218">
        <v>2216</v>
      </c>
      <c r="B218" s="2">
        <v>45460</v>
      </c>
      <c r="C218" t="s">
        <v>12</v>
      </c>
      <c r="D218" t="s">
        <v>13</v>
      </c>
      <c r="E218" t="s">
        <v>14</v>
      </c>
      <c r="F218" t="s">
        <v>15</v>
      </c>
      <c r="G218" t="s">
        <v>16</v>
      </c>
      <c r="H218">
        <v>5</v>
      </c>
      <c r="I218" s="5">
        <v>39348</v>
      </c>
      <c r="J218" s="5">
        <v>196740</v>
      </c>
      <c r="K218" s="5">
        <v>142811.56</v>
      </c>
      <c r="L218" s="5">
        <v>53928.44</v>
      </c>
      <c r="M218" s="4">
        <f t="shared" si="3"/>
        <v>0.27411019619802784</v>
      </c>
    </row>
    <row r="219" spans="1:13" x14ac:dyDescent="0.35">
      <c r="A219">
        <v>2217</v>
      </c>
      <c r="B219" s="2">
        <v>45563</v>
      </c>
      <c r="C219" t="s">
        <v>21</v>
      </c>
      <c r="D219" t="s">
        <v>41</v>
      </c>
      <c r="E219" t="s">
        <v>42</v>
      </c>
      <c r="F219" t="s">
        <v>24</v>
      </c>
      <c r="G219" t="s">
        <v>16</v>
      </c>
      <c r="H219">
        <v>1</v>
      </c>
      <c r="I219" s="5">
        <v>11475</v>
      </c>
      <c r="J219" s="5">
        <v>11475</v>
      </c>
      <c r="K219" s="5">
        <v>8462.16</v>
      </c>
      <c r="L219" s="5">
        <v>3012.84</v>
      </c>
      <c r="M219" s="4">
        <f t="shared" si="3"/>
        <v>0.26255686274509804</v>
      </c>
    </row>
    <row r="220" spans="1:13" x14ac:dyDescent="0.35">
      <c r="A220">
        <v>2218</v>
      </c>
      <c r="B220" s="2">
        <v>45400</v>
      </c>
      <c r="C220" t="s">
        <v>31</v>
      </c>
      <c r="D220" t="s">
        <v>32</v>
      </c>
      <c r="E220" t="s">
        <v>40</v>
      </c>
      <c r="F220" t="s">
        <v>15</v>
      </c>
      <c r="G220" t="s">
        <v>35</v>
      </c>
      <c r="H220">
        <v>4</v>
      </c>
      <c r="I220" s="5">
        <v>18197</v>
      </c>
      <c r="J220" s="5">
        <v>72788</v>
      </c>
      <c r="K220" s="5">
        <v>55540.22</v>
      </c>
      <c r="L220" s="5">
        <v>17247.78</v>
      </c>
      <c r="M220" s="4">
        <f t="shared" si="3"/>
        <v>0.23695911413969334</v>
      </c>
    </row>
    <row r="221" spans="1:13" x14ac:dyDescent="0.35">
      <c r="A221">
        <v>2219</v>
      </c>
      <c r="B221" s="2">
        <v>45305</v>
      </c>
      <c r="C221" t="s">
        <v>12</v>
      </c>
      <c r="D221" t="s">
        <v>32</v>
      </c>
      <c r="E221" t="s">
        <v>33</v>
      </c>
      <c r="F221" t="s">
        <v>24</v>
      </c>
      <c r="G221" t="s">
        <v>25</v>
      </c>
      <c r="H221">
        <v>1</v>
      </c>
      <c r="I221" s="5">
        <v>21982</v>
      </c>
      <c r="J221" s="5">
        <v>21982</v>
      </c>
      <c r="K221" s="5">
        <v>17022.73</v>
      </c>
      <c r="L221" s="5">
        <v>4959.2700000000004</v>
      </c>
      <c r="M221" s="4">
        <f t="shared" si="3"/>
        <v>0.22560595032299155</v>
      </c>
    </row>
    <row r="222" spans="1:13" x14ac:dyDescent="0.35">
      <c r="A222">
        <v>2220</v>
      </c>
      <c r="B222" s="2">
        <v>45650</v>
      </c>
      <c r="C222" t="s">
        <v>17</v>
      </c>
      <c r="D222" t="s">
        <v>32</v>
      </c>
      <c r="E222" t="s">
        <v>33</v>
      </c>
      <c r="F222" t="s">
        <v>24</v>
      </c>
      <c r="G222" t="s">
        <v>30</v>
      </c>
      <c r="H222">
        <v>1</v>
      </c>
      <c r="I222" s="5">
        <v>12046</v>
      </c>
      <c r="J222" s="5">
        <v>12046</v>
      </c>
      <c r="K222" s="5">
        <v>7930.24</v>
      </c>
      <c r="L222" s="5">
        <v>4115.76</v>
      </c>
      <c r="M222" s="4">
        <f t="shared" si="3"/>
        <v>0.34167026398804584</v>
      </c>
    </row>
    <row r="223" spans="1:13" x14ac:dyDescent="0.35">
      <c r="A223">
        <v>2221</v>
      </c>
      <c r="B223" s="2">
        <v>45315</v>
      </c>
      <c r="C223" t="s">
        <v>34</v>
      </c>
      <c r="D223" t="s">
        <v>18</v>
      </c>
      <c r="E223" t="s">
        <v>43</v>
      </c>
      <c r="F223" t="s">
        <v>24</v>
      </c>
      <c r="G223" t="s">
        <v>25</v>
      </c>
      <c r="H223">
        <v>1</v>
      </c>
      <c r="I223" s="5">
        <v>55632</v>
      </c>
      <c r="J223" s="5">
        <v>55632</v>
      </c>
      <c r="K223" s="5">
        <v>38378.43</v>
      </c>
      <c r="L223" s="5">
        <v>17253.57</v>
      </c>
      <c r="M223" s="4">
        <f t="shared" si="3"/>
        <v>0.31013751078515961</v>
      </c>
    </row>
    <row r="224" spans="1:13" x14ac:dyDescent="0.35">
      <c r="A224">
        <v>2222</v>
      </c>
      <c r="B224" s="2">
        <v>45656</v>
      </c>
      <c r="C224" t="s">
        <v>34</v>
      </c>
      <c r="D224" t="s">
        <v>41</v>
      </c>
      <c r="E224" t="s">
        <v>42</v>
      </c>
      <c r="F224" t="s">
        <v>24</v>
      </c>
      <c r="G224" t="s">
        <v>25</v>
      </c>
      <c r="H224">
        <v>4</v>
      </c>
      <c r="I224" s="5">
        <v>22039</v>
      </c>
      <c r="J224" s="5">
        <v>88156</v>
      </c>
      <c r="K224" s="5">
        <v>61648.86</v>
      </c>
      <c r="L224" s="5">
        <v>26507.14</v>
      </c>
      <c r="M224" s="4">
        <f t="shared" si="3"/>
        <v>0.30068446844230684</v>
      </c>
    </row>
    <row r="225" spans="1:13" x14ac:dyDescent="0.35">
      <c r="A225">
        <v>2223</v>
      </c>
      <c r="B225" s="2">
        <v>45309</v>
      </c>
      <c r="C225" t="s">
        <v>26</v>
      </c>
      <c r="D225" t="s">
        <v>32</v>
      </c>
      <c r="E225" t="s">
        <v>40</v>
      </c>
      <c r="F225" t="s">
        <v>15</v>
      </c>
      <c r="G225" t="s">
        <v>25</v>
      </c>
      <c r="H225">
        <v>1</v>
      </c>
      <c r="I225" s="5">
        <v>45665</v>
      </c>
      <c r="J225" s="5">
        <v>45665</v>
      </c>
      <c r="K225" s="5">
        <v>34039.74</v>
      </c>
      <c r="L225" s="5">
        <v>11625.26</v>
      </c>
      <c r="M225" s="4">
        <f t="shared" si="3"/>
        <v>0.25457702835869922</v>
      </c>
    </row>
    <row r="226" spans="1:13" x14ac:dyDescent="0.35">
      <c r="A226">
        <v>2224</v>
      </c>
      <c r="B226" s="2">
        <v>45396</v>
      </c>
      <c r="C226" t="s">
        <v>26</v>
      </c>
      <c r="D226" t="s">
        <v>32</v>
      </c>
      <c r="E226" t="s">
        <v>33</v>
      </c>
      <c r="F226" t="s">
        <v>24</v>
      </c>
      <c r="G226" t="s">
        <v>38</v>
      </c>
      <c r="H226">
        <v>3</v>
      </c>
      <c r="I226" s="5">
        <v>49830</v>
      </c>
      <c r="J226" s="5">
        <v>149490</v>
      </c>
      <c r="K226" s="5">
        <v>107229.65</v>
      </c>
      <c r="L226" s="5">
        <v>42260.35</v>
      </c>
      <c r="M226" s="4">
        <f t="shared" si="3"/>
        <v>0.28269683590875644</v>
      </c>
    </row>
    <row r="227" spans="1:13" x14ac:dyDescent="0.35">
      <c r="A227">
        <v>2225</v>
      </c>
      <c r="B227" s="2">
        <v>45423</v>
      </c>
      <c r="C227" t="s">
        <v>26</v>
      </c>
      <c r="D227" t="s">
        <v>13</v>
      </c>
      <c r="E227" t="s">
        <v>39</v>
      </c>
      <c r="F227" t="s">
        <v>24</v>
      </c>
      <c r="G227" t="s">
        <v>35</v>
      </c>
      <c r="H227">
        <v>3</v>
      </c>
      <c r="I227" s="5">
        <v>14344</v>
      </c>
      <c r="J227" s="5">
        <v>43032</v>
      </c>
      <c r="K227" s="5">
        <v>34130.94</v>
      </c>
      <c r="L227" s="5">
        <v>8901.06</v>
      </c>
      <c r="M227" s="4">
        <f t="shared" si="3"/>
        <v>0.2068474623535973</v>
      </c>
    </row>
    <row r="228" spans="1:13" x14ac:dyDescent="0.35">
      <c r="A228">
        <v>2226</v>
      </c>
      <c r="B228" s="2">
        <v>45549</v>
      </c>
      <c r="C228" t="s">
        <v>17</v>
      </c>
      <c r="D228" t="s">
        <v>13</v>
      </c>
      <c r="E228" t="s">
        <v>14</v>
      </c>
      <c r="F228" t="s">
        <v>15</v>
      </c>
      <c r="G228" t="s">
        <v>20</v>
      </c>
      <c r="H228">
        <v>4</v>
      </c>
      <c r="I228" s="5">
        <v>45702</v>
      </c>
      <c r="J228" s="5">
        <v>182808</v>
      </c>
      <c r="K228" s="5">
        <v>141430.35</v>
      </c>
      <c r="L228" s="5">
        <v>41377.65</v>
      </c>
      <c r="M228" s="4">
        <f t="shared" si="3"/>
        <v>0.22634485361690956</v>
      </c>
    </row>
    <row r="229" spans="1:13" x14ac:dyDescent="0.35">
      <c r="A229">
        <v>2227</v>
      </c>
      <c r="B229" s="2">
        <v>45307</v>
      </c>
      <c r="C229" t="s">
        <v>36</v>
      </c>
      <c r="D229" t="s">
        <v>18</v>
      </c>
      <c r="E229" t="s">
        <v>43</v>
      </c>
      <c r="F229" t="s">
        <v>24</v>
      </c>
      <c r="G229" t="s">
        <v>16</v>
      </c>
      <c r="H229">
        <v>4</v>
      </c>
      <c r="I229" s="5">
        <v>75976</v>
      </c>
      <c r="J229" s="5">
        <v>303904</v>
      </c>
      <c r="K229" s="5">
        <v>244522.73</v>
      </c>
      <c r="L229" s="5">
        <v>59381.27</v>
      </c>
      <c r="M229" s="4">
        <f t="shared" si="3"/>
        <v>0.19539482863009369</v>
      </c>
    </row>
    <row r="230" spans="1:13" x14ac:dyDescent="0.35">
      <c r="A230">
        <v>2228</v>
      </c>
      <c r="B230" s="2">
        <v>45316</v>
      </c>
      <c r="C230" t="s">
        <v>21</v>
      </c>
      <c r="D230" t="s">
        <v>13</v>
      </c>
      <c r="E230" t="s">
        <v>14</v>
      </c>
      <c r="F230" t="s">
        <v>15</v>
      </c>
      <c r="G230" t="s">
        <v>38</v>
      </c>
      <c r="H230">
        <v>5</v>
      </c>
      <c r="I230" s="5">
        <v>36386</v>
      </c>
      <c r="J230" s="5">
        <v>181930</v>
      </c>
      <c r="K230" s="5">
        <v>144248.29999999999</v>
      </c>
      <c r="L230" s="5">
        <v>37681.699999999997</v>
      </c>
      <c r="M230" s="4">
        <f t="shared" si="3"/>
        <v>0.20712196998845708</v>
      </c>
    </row>
    <row r="231" spans="1:13" x14ac:dyDescent="0.35">
      <c r="A231">
        <v>2229</v>
      </c>
      <c r="B231" s="2">
        <v>45379</v>
      </c>
      <c r="C231" t="s">
        <v>31</v>
      </c>
      <c r="D231" t="s">
        <v>18</v>
      </c>
      <c r="E231" t="s">
        <v>19</v>
      </c>
      <c r="F231" t="s">
        <v>15</v>
      </c>
      <c r="G231" t="s">
        <v>35</v>
      </c>
      <c r="H231">
        <v>4</v>
      </c>
      <c r="I231" s="5">
        <v>8170</v>
      </c>
      <c r="J231" s="5">
        <v>32680</v>
      </c>
      <c r="K231" s="5">
        <v>24663.96</v>
      </c>
      <c r="L231" s="5">
        <v>8016.04</v>
      </c>
      <c r="M231" s="4">
        <f t="shared" si="3"/>
        <v>0.24528886168910649</v>
      </c>
    </row>
    <row r="232" spans="1:13" x14ac:dyDescent="0.35">
      <c r="A232">
        <v>2230</v>
      </c>
      <c r="B232" s="2">
        <v>45294</v>
      </c>
      <c r="C232" t="s">
        <v>36</v>
      </c>
      <c r="D232" t="s">
        <v>13</v>
      </c>
      <c r="E232" t="s">
        <v>39</v>
      </c>
      <c r="F232" t="s">
        <v>24</v>
      </c>
      <c r="G232" t="s">
        <v>25</v>
      </c>
      <c r="H232">
        <v>3</v>
      </c>
      <c r="I232" s="5">
        <v>72333</v>
      </c>
      <c r="J232" s="5">
        <v>216999</v>
      </c>
      <c r="K232" s="5">
        <v>145202.23000000001</v>
      </c>
      <c r="L232" s="5">
        <v>71796.77</v>
      </c>
      <c r="M232" s="4">
        <f t="shared" si="3"/>
        <v>0.33086221595491228</v>
      </c>
    </row>
    <row r="233" spans="1:13" x14ac:dyDescent="0.35">
      <c r="A233">
        <v>2231</v>
      </c>
      <c r="B233" s="2">
        <v>45469</v>
      </c>
      <c r="C233" t="s">
        <v>21</v>
      </c>
      <c r="D233" t="s">
        <v>32</v>
      </c>
      <c r="E233" t="s">
        <v>33</v>
      </c>
      <c r="F233" t="s">
        <v>24</v>
      </c>
      <c r="G233" t="s">
        <v>20</v>
      </c>
      <c r="H233">
        <v>5</v>
      </c>
      <c r="I233" s="5">
        <v>42154</v>
      </c>
      <c r="J233" s="5">
        <v>210770</v>
      </c>
      <c r="K233" s="5">
        <v>161365.82</v>
      </c>
      <c r="L233" s="5">
        <v>49404.18</v>
      </c>
      <c r="M233" s="4">
        <f t="shared" si="3"/>
        <v>0.23439853869146463</v>
      </c>
    </row>
    <row r="234" spans="1:13" x14ac:dyDescent="0.35">
      <c r="A234">
        <v>2232</v>
      </c>
      <c r="B234" s="2">
        <v>45650</v>
      </c>
      <c r="C234" t="s">
        <v>17</v>
      </c>
      <c r="D234" t="s">
        <v>32</v>
      </c>
      <c r="E234" t="s">
        <v>33</v>
      </c>
      <c r="F234" t="s">
        <v>24</v>
      </c>
      <c r="G234" t="s">
        <v>30</v>
      </c>
      <c r="H234">
        <v>2</v>
      </c>
      <c r="I234" s="5">
        <v>73315</v>
      </c>
      <c r="J234" s="5">
        <v>146630</v>
      </c>
      <c r="K234" s="5">
        <v>100171.49</v>
      </c>
      <c r="L234" s="5">
        <v>46458.51</v>
      </c>
      <c r="M234" s="4">
        <f t="shared" si="3"/>
        <v>0.31684177862647483</v>
      </c>
    </row>
    <row r="235" spans="1:13" x14ac:dyDescent="0.35">
      <c r="A235">
        <v>2233</v>
      </c>
      <c r="B235" s="2">
        <v>45579</v>
      </c>
      <c r="C235" t="s">
        <v>21</v>
      </c>
      <c r="D235" t="s">
        <v>18</v>
      </c>
      <c r="E235" t="s">
        <v>19</v>
      </c>
      <c r="F235" t="s">
        <v>15</v>
      </c>
      <c r="G235" t="s">
        <v>38</v>
      </c>
      <c r="H235">
        <v>1</v>
      </c>
      <c r="I235" s="5">
        <v>50813</v>
      </c>
      <c r="J235" s="5">
        <v>50813</v>
      </c>
      <c r="K235" s="5">
        <v>36642.44</v>
      </c>
      <c r="L235" s="5">
        <v>14170.56</v>
      </c>
      <c r="M235" s="4">
        <f t="shared" si="3"/>
        <v>0.27887666542026646</v>
      </c>
    </row>
    <row r="236" spans="1:13" x14ac:dyDescent="0.35">
      <c r="A236">
        <v>2234</v>
      </c>
      <c r="B236" s="2">
        <v>45336</v>
      </c>
      <c r="C236" t="s">
        <v>21</v>
      </c>
      <c r="D236" t="s">
        <v>22</v>
      </c>
      <c r="E236" t="s">
        <v>23</v>
      </c>
      <c r="F236" t="s">
        <v>24</v>
      </c>
      <c r="G236" t="s">
        <v>38</v>
      </c>
      <c r="H236">
        <v>4</v>
      </c>
      <c r="I236" s="5">
        <v>11299</v>
      </c>
      <c r="J236" s="5">
        <v>45196</v>
      </c>
      <c r="K236" s="5">
        <v>32739.53</v>
      </c>
      <c r="L236" s="5">
        <v>12456.47</v>
      </c>
      <c r="M236" s="4">
        <f t="shared" si="3"/>
        <v>0.27561000973537481</v>
      </c>
    </row>
    <row r="237" spans="1:13" x14ac:dyDescent="0.35">
      <c r="A237">
        <v>2235</v>
      </c>
      <c r="B237" s="2">
        <v>45571</v>
      </c>
      <c r="C237" t="s">
        <v>17</v>
      </c>
      <c r="D237" t="s">
        <v>13</v>
      </c>
      <c r="E237" t="s">
        <v>39</v>
      </c>
      <c r="F237" t="s">
        <v>24</v>
      </c>
      <c r="G237" t="s">
        <v>16</v>
      </c>
      <c r="H237">
        <v>5</v>
      </c>
      <c r="I237" s="5">
        <v>30427</v>
      </c>
      <c r="J237" s="5">
        <v>152135</v>
      </c>
      <c r="K237" s="5">
        <v>110428.87</v>
      </c>
      <c r="L237" s="5">
        <v>41706.129999999997</v>
      </c>
      <c r="M237" s="4">
        <f t="shared" si="3"/>
        <v>0.27413895553291484</v>
      </c>
    </row>
    <row r="238" spans="1:13" x14ac:dyDescent="0.35">
      <c r="A238">
        <v>2236</v>
      </c>
      <c r="B238" s="2">
        <v>45564</v>
      </c>
      <c r="C238" t="s">
        <v>21</v>
      </c>
      <c r="D238" t="s">
        <v>32</v>
      </c>
      <c r="E238" t="s">
        <v>40</v>
      </c>
      <c r="F238" t="s">
        <v>15</v>
      </c>
      <c r="G238" t="s">
        <v>30</v>
      </c>
      <c r="H238">
        <v>5</v>
      </c>
      <c r="I238" s="5">
        <v>12441</v>
      </c>
      <c r="J238" s="5">
        <v>62205</v>
      </c>
      <c r="K238" s="5">
        <v>44768.76</v>
      </c>
      <c r="L238" s="5">
        <v>17436.240000000002</v>
      </c>
      <c r="M238" s="4">
        <f t="shared" si="3"/>
        <v>0.28030286954424888</v>
      </c>
    </row>
    <row r="239" spans="1:13" x14ac:dyDescent="0.35">
      <c r="A239">
        <v>2237</v>
      </c>
      <c r="B239" s="2">
        <v>45522</v>
      </c>
      <c r="C239" t="s">
        <v>31</v>
      </c>
      <c r="D239" t="s">
        <v>13</v>
      </c>
      <c r="E239" t="s">
        <v>14</v>
      </c>
      <c r="F239" t="s">
        <v>15</v>
      </c>
      <c r="G239" t="s">
        <v>30</v>
      </c>
      <c r="H239">
        <v>5</v>
      </c>
      <c r="I239" s="5">
        <v>50380</v>
      </c>
      <c r="J239" s="5">
        <v>251900</v>
      </c>
      <c r="K239" s="5">
        <v>172276.96</v>
      </c>
      <c r="L239" s="5">
        <v>79623.039999999994</v>
      </c>
      <c r="M239" s="4">
        <f t="shared" si="3"/>
        <v>0.31608987693529178</v>
      </c>
    </row>
    <row r="240" spans="1:13" x14ac:dyDescent="0.35">
      <c r="A240">
        <v>2238</v>
      </c>
      <c r="B240" s="2">
        <v>45588</v>
      </c>
      <c r="C240" t="s">
        <v>34</v>
      </c>
      <c r="D240" t="s">
        <v>22</v>
      </c>
      <c r="E240" t="s">
        <v>37</v>
      </c>
      <c r="F240" t="s">
        <v>24</v>
      </c>
      <c r="G240" t="s">
        <v>35</v>
      </c>
      <c r="H240">
        <v>2</v>
      </c>
      <c r="I240" s="5">
        <v>24522</v>
      </c>
      <c r="J240" s="5">
        <v>49044</v>
      </c>
      <c r="K240" s="5">
        <v>35155.269999999997</v>
      </c>
      <c r="L240" s="5">
        <v>13888.73</v>
      </c>
      <c r="M240" s="4">
        <f t="shared" si="3"/>
        <v>0.28318917706549218</v>
      </c>
    </row>
    <row r="241" spans="1:13" x14ac:dyDescent="0.35">
      <c r="A241">
        <v>2239</v>
      </c>
      <c r="B241" s="2">
        <v>45428</v>
      </c>
      <c r="C241" t="s">
        <v>31</v>
      </c>
      <c r="D241" t="s">
        <v>32</v>
      </c>
      <c r="E241" t="s">
        <v>40</v>
      </c>
      <c r="F241" t="s">
        <v>15</v>
      </c>
      <c r="G241" t="s">
        <v>30</v>
      </c>
      <c r="H241">
        <v>3</v>
      </c>
      <c r="I241" s="5">
        <v>28262</v>
      </c>
      <c r="J241" s="5">
        <v>84786</v>
      </c>
      <c r="K241" s="5">
        <v>67376.649999999994</v>
      </c>
      <c r="L241" s="5">
        <v>17409.349999999999</v>
      </c>
      <c r="M241" s="4">
        <f t="shared" si="3"/>
        <v>0.20533283796853252</v>
      </c>
    </row>
    <row r="242" spans="1:13" x14ac:dyDescent="0.35">
      <c r="A242">
        <v>2240</v>
      </c>
      <c r="B242" s="2">
        <v>45600</v>
      </c>
      <c r="C242" t="s">
        <v>34</v>
      </c>
      <c r="D242" t="s">
        <v>32</v>
      </c>
      <c r="E242" t="s">
        <v>40</v>
      </c>
      <c r="F242" t="s">
        <v>15</v>
      </c>
      <c r="G242" t="s">
        <v>35</v>
      </c>
      <c r="H242">
        <v>5</v>
      </c>
      <c r="I242" s="5">
        <v>53695</v>
      </c>
      <c r="J242" s="5">
        <v>268475</v>
      </c>
      <c r="K242" s="5">
        <v>183149.58</v>
      </c>
      <c r="L242" s="5">
        <v>85325.42</v>
      </c>
      <c r="M242" s="4">
        <f t="shared" si="3"/>
        <v>0.31781514107458797</v>
      </c>
    </row>
    <row r="243" spans="1:13" x14ac:dyDescent="0.35">
      <c r="A243">
        <v>2241</v>
      </c>
      <c r="B243" s="2">
        <v>45344</v>
      </c>
      <c r="C243" t="s">
        <v>12</v>
      </c>
      <c r="D243" t="s">
        <v>13</v>
      </c>
      <c r="E243" t="s">
        <v>14</v>
      </c>
      <c r="F243" t="s">
        <v>15</v>
      </c>
      <c r="G243" t="s">
        <v>35</v>
      </c>
      <c r="H243">
        <v>2</v>
      </c>
      <c r="I243" s="5">
        <v>21321</v>
      </c>
      <c r="J243" s="5">
        <v>42642</v>
      </c>
      <c r="K243" s="5">
        <v>29384.02</v>
      </c>
      <c r="L243" s="5">
        <v>13257.98</v>
      </c>
      <c r="M243" s="4">
        <f t="shared" si="3"/>
        <v>0.31091365320575959</v>
      </c>
    </row>
    <row r="244" spans="1:13" x14ac:dyDescent="0.35">
      <c r="A244">
        <v>2242</v>
      </c>
      <c r="B244" s="2">
        <v>45444</v>
      </c>
      <c r="C244" t="s">
        <v>12</v>
      </c>
      <c r="D244" t="s">
        <v>32</v>
      </c>
      <c r="E244" t="s">
        <v>33</v>
      </c>
      <c r="F244" t="s">
        <v>24</v>
      </c>
      <c r="G244" t="s">
        <v>35</v>
      </c>
      <c r="H244">
        <v>4</v>
      </c>
      <c r="I244" s="5">
        <v>43890</v>
      </c>
      <c r="J244" s="5">
        <v>175560</v>
      </c>
      <c r="K244" s="5">
        <v>121002.66</v>
      </c>
      <c r="L244" s="5">
        <v>54557.34</v>
      </c>
      <c r="M244" s="4">
        <f t="shared" si="3"/>
        <v>0.31076179084073818</v>
      </c>
    </row>
    <row r="245" spans="1:13" x14ac:dyDescent="0.35">
      <c r="A245">
        <v>2243</v>
      </c>
      <c r="B245" s="2">
        <v>45490</v>
      </c>
      <c r="C245" t="s">
        <v>17</v>
      </c>
      <c r="D245" t="s">
        <v>18</v>
      </c>
      <c r="E245" t="s">
        <v>19</v>
      </c>
      <c r="F245" t="s">
        <v>15</v>
      </c>
      <c r="G245" t="s">
        <v>30</v>
      </c>
      <c r="H245">
        <v>4</v>
      </c>
      <c r="I245" s="5">
        <v>12447</v>
      </c>
      <c r="J245" s="5">
        <v>49788</v>
      </c>
      <c r="K245" s="5">
        <v>32487.84</v>
      </c>
      <c r="L245" s="5">
        <v>17300.16</v>
      </c>
      <c r="M245" s="4">
        <f t="shared" si="3"/>
        <v>0.34747650036153288</v>
      </c>
    </row>
    <row r="246" spans="1:13" x14ac:dyDescent="0.35">
      <c r="A246">
        <v>2244</v>
      </c>
      <c r="B246" s="2">
        <v>45548</v>
      </c>
      <c r="C246" t="s">
        <v>34</v>
      </c>
      <c r="D246" t="s">
        <v>22</v>
      </c>
      <c r="E246" t="s">
        <v>23</v>
      </c>
      <c r="F246" t="s">
        <v>24</v>
      </c>
      <c r="G246" t="s">
        <v>30</v>
      </c>
      <c r="H246">
        <v>3</v>
      </c>
      <c r="I246" s="5">
        <v>68722</v>
      </c>
      <c r="J246" s="5">
        <v>206166</v>
      </c>
      <c r="K246" s="5">
        <v>134919.87</v>
      </c>
      <c r="L246" s="5">
        <v>71246.13</v>
      </c>
      <c r="M246" s="4">
        <f t="shared" si="3"/>
        <v>0.34557652571229014</v>
      </c>
    </row>
    <row r="247" spans="1:13" x14ac:dyDescent="0.35">
      <c r="A247">
        <v>2245</v>
      </c>
      <c r="B247" s="2">
        <v>45499</v>
      </c>
      <c r="C247" t="s">
        <v>31</v>
      </c>
      <c r="D247" t="s">
        <v>13</v>
      </c>
      <c r="E247" t="s">
        <v>39</v>
      </c>
      <c r="F247" t="s">
        <v>24</v>
      </c>
      <c r="G247" t="s">
        <v>38</v>
      </c>
      <c r="H247">
        <v>1</v>
      </c>
      <c r="I247" s="5">
        <v>39756</v>
      </c>
      <c r="J247" s="5">
        <v>39756</v>
      </c>
      <c r="K247" s="5">
        <v>33061.120000000003</v>
      </c>
      <c r="L247" s="5">
        <v>6694.88</v>
      </c>
      <c r="M247" s="4">
        <f t="shared" si="3"/>
        <v>0.16839923533554685</v>
      </c>
    </row>
    <row r="248" spans="1:13" x14ac:dyDescent="0.35">
      <c r="A248">
        <v>2246</v>
      </c>
      <c r="B248" s="2">
        <v>45592</v>
      </c>
      <c r="C248" t="s">
        <v>34</v>
      </c>
      <c r="D248" t="s">
        <v>22</v>
      </c>
      <c r="E248" t="s">
        <v>23</v>
      </c>
      <c r="F248" t="s">
        <v>24</v>
      </c>
      <c r="G248" t="s">
        <v>20</v>
      </c>
      <c r="H248">
        <v>4</v>
      </c>
      <c r="I248" s="5">
        <v>37958</v>
      </c>
      <c r="J248" s="5">
        <v>151832</v>
      </c>
      <c r="K248" s="5">
        <v>118972.39</v>
      </c>
      <c r="L248" s="5">
        <v>32859.61</v>
      </c>
      <c r="M248" s="4">
        <f t="shared" si="3"/>
        <v>0.21642084672532799</v>
      </c>
    </row>
    <row r="249" spans="1:13" x14ac:dyDescent="0.35">
      <c r="A249">
        <v>2247</v>
      </c>
      <c r="B249" s="2">
        <v>45639</v>
      </c>
      <c r="C249" t="s">
        <v>36</v>
      </c>
      <c r="D249" t="s">
        <v>27</v>
      </c>
      <c r="E249" t="s">
        <v>28</v>
      </c>
      <c r="F249" t="s">
        <v>29</v>
      </c>
      <c r="G249" t="s">
        <v>30</v>
      </c>
      <c r="H249">
        <v>2</v>
      </c>
      <c r="I249" s="5">
        <v>24281</v>
      </c>
      <c r="J249" s="5">
        <v>48562</v>
      </c>
      <c r="K249" s="5">
        <v>35973.78</v>
      </c>
      <c r="L249" s="5">
        <v>12588.22</v>
      </c>
      <c r="M249" s="4">
        <f t="shared" si="3"/>
        <v>0.25921955438408628</v>
      </c>
    </row>
    <row r="250" spans="1:13" x14ac:dyDescent="0.35">
      <c r="A250">
        <v>2248</v>
      </c>
      <c r="B250" s="2">
        <v>45650</v>
      </c>
      <c r="C250" t="s">
        <v>17</v>
      </c>
      <c r="D250" t="s">
        <v>13</v>
      </c>
      <c r="E250" t="s">
        <v>14</v>
      </c>
      <c r="F250" t="s">
        <v>15</v>
      </c>
      <c r="G250" t="s">
        <v>38</v>
      </c>
      <c r="H250">
        <v>1</v>
      </c>
      <c r="I250" s="5">
        <v>62995</v>
      </c>
      <c r="J250" s="5">
        <v>62995</v>
      </c>
      <c r="K250" s="5">
        <v>44000.7</v>
      </c>
      <c r="L250" s="5">
        <v>18994.3</v>
      </c>
      <c r="M250" s="4">
        <f t="shared" si="3"/>
        <v>0.30152075561552505</v>
      </c>
    </row>
    <row r="251" spans="1:13" x14ac:dyDescent="0.35">
      <c r="A251">
        <v>2249</v>
      </c>
      <c r="B251" s="2">
        <v>45614</v>
      </c>
      <c r="C251" t="s">
        <v>34</v>
      </c>
      <c r="D251" t="s">
        <v>22</v>
      </c>
      <c r="E251" t="s">
        <v>23</v>
      </c>
      <c r="F251" t="s">
        <v>24</v>
      </c>
      <c r="G251" t="s">
        <v>38</v>
      </c>
      <c r="H251">
        <v>2</v>
      </c>
      <c r="I251" s="5">
        <v>40775</v>
      </c>
      <c r="J251" s="5">
        <v>81550</v>
      </c>
      <c r="K251" s="5">
        <v>66861.89</v>
      </c>
      <c r="L251" s="5">
        <v>14688.11</v>
      </c>
      <c r="M251" s="4">
        <f t="shared" si="3"/>
        <v>0.18011171060698958</v>
      </c>
    </row>
    <row r="252" spans="1:13" x14ac:dyDescent="0.35">
      <c r="A252">
        <v>2250</v>
      </c>
      <c r="B252" s="2">
        <v>45610</v>
      </c>
      <c r="C252" t="s">
        <v>21</v>
      </c>
      <c r="D252" t="s">
        <v>22</v>
      </c>
      <c r="E252" t="s">
        <v>37</v>
      </c>
      <c r="F252" t="s">
        <v>24</v>
      </c>
      <c r="G252" t="s">
        <v>25</v>
      </c>
      <c r="H252">
        <v>4</v>
      </c>
      <c r="I252" s="5">
        <v>75928</v>
      </c>
      <c r="J252" s="5">
        <v>303712</v>
      </c>
      <c r="K252" s="5">
        <v>238428.79999999999</v>
      </c>
      <c r="L252" s="5">
        <v>65283.199999999997</v>
      </c>
      <c r="M252" s="4">
        <f t="shared" si="3"/>
        <v>0.21495100621641555</v>
      </c>
    </row>
    <row r="253" spans="1:13" x14ac:dyDescent="0.35">
      <c r="A253">
        <v>2251</v>
      </c>
      <c r="B253" s="2">
        <v>45297</v>
      </c>
      <c r="C253" t="s">
        <v>34</v>
      </c>
      <c r="D253" t="s">
        <v>32</v>
      </c>
      <c r="E253" t="s">
        <v>33</v>
      </c>
      <c r="F253" t="s">
        <v>24</v>
      </c>
      <c r="G253" t="s">
        <v>35</v>
      </c>
      <c r="H253">
        <v>4</v>
      </c>
      <c r="I253" s="5">
        <v>72204</v>
      </c>
      <c r="J253" s="5">
        <v>288816</v>
      </c>
      <c r="K253" s="5">
        <v>240190.47</v>
      </c>
      <c r="L253" s="5">
        <v>48625.53</v>
      </c>
      <c r="M253" s="4">
        <f t="shared" si="3"/>
        <v>0.16836162123982051</v>
      </c>
    </row>
    <row r="254" spans="1:13" x14ac:dyDescent="0.35">
      <c r="A254">
        <v>2252</v>
      </c>
      <c r="B254" s="2">
        <v>45570</v>
      </c>
      <c r="C254" t="s">
        <v>26</v>
      </c>
      <c r="D254" t="s">
        <v>18</v>
      </c>
      <c r="E254" t="s">
        <v>19</v>
      </c>
      <c r="F254" t="s">
        <v>15</v>
      </c>
      <c r="G254" t="s">
        <v>35</v>
      </c>
      <c r="H254">
        <v>2</v>
      </c>
      <c r="I254" s="5">
        <v>29081</v>
      </c>
      <c r="J254" s="5">
        <v>58162</v>
      </c>
      <c r="K254" s="5">
        <v>46136.61</v>
      </c>
      <c r="L254" s="5">
        <v>12025.39</v>
      </c>
      <c r="M254" s="4">
        <f t="shared" si="3"/>
        <v>0.2067568171658471</v>
      </c>
    </row>
    <row r="255" spans="1:13" x14ac:dyDescent="0.35">
      <c r="A255">
        <v>2253</v>
      </c>
      <c r="B255" s="2">
        <v>45343</v>
      </c>
      <c r="C255" t="s">
        <v>31</v>
      </c>
      <c r="D255" t="s">
        <v>32</v>
      </c>
      <c r="E255" t="s">
        <v>40</v>
      </c>
      <c r="F255" t="s">
        <v>15</v>
      </c>
      <c r="G255" t="s">
        <v>35</v>
      </c>
      <c r="H255">
        <v>5</v>
      </c>
      <c r="I255" s="5">
        <v>67871</v>
      </c>
      <c r="J255" s="5">
        <v>339355</v>
      </c>
      <c r="K255" s="5">
        <v>257301.36</v>
      </c>
      <c r="L255" s="5">
        <v>82053.64</v>
      </c>
      <c r="M255" s="4">
        <f t="shared" si="3"/>
        <v>0.24179293070678198</v>
      </c>
    </row>
    <row r="256" spans="1:13" x14ac:dyDescent="0.35">
      <c r="A256">
        <v>2254</v>
      </c>
      <c r="B256" s="2">
        <v>45619</v>
      </c>
      <c r="C256" t="s">
        <v>31</v>
      </c>
      <c r="D256" t="s">
        <v>22</v>
      </c>
      <c r="E256" t="s">
        <v>37</v>
      </c>
      <c r="F256" t="s">
        <v>24</v>
      </c>
      <c r="G256" t="s">
        <v>25</v>
      </c>
      <c r="H256">
        <v>3</v>
      </c>
      <c r="I256" s="5">
        <v>76378</v>
      </c>
      <c r="J256" s="5">
        <v>229134</v>
      </c>
      <c r="K256" s="5">
        <v>164648.9</v>
      </c>
      <c r="L256" s="5">
        <v>64485.1</v>
      </c>
      <c r="M256" s="4">
        <f t="shared" si="3"/>
        <v>0.28142964378922375</v>
      </c>
    </row>
    <row r="257" spans="1:13" x14ac:dyDescent="0.35">
      <c r="A257">
        <v>2255</v>
      </c>
      <c r="B257" s="2">
        <v>45386</v>
      </c>
      <c r="C257" t="s">
        <v>12</v>
      </c>
      <c r="D257" t="s">
        <v>22</v>
      </c>
      <c r="E257" t="s">
        <v>37</v>
      </c>
      <c r="F257" t="s">
        <v>24</v>
      </c>
      <c r="G257" t="s">
        <v>38</v>
      </c>
      <c r="H257">
        <v>4</v>
      </c>
      <c r="I257" s="5">
        <v>75343</v>
      </c>
      <c r="J257" s="5">
        <v>301372</v>
      </c>
      <c r="K257" s="5">
        <v>241863.18</v>
      </c>
      <c r="L257" s="5">
        <v>59508.82</v>
      </c>
      <c r="M257" s="4">
        <f t="shared" si="3"/>
        <v>0.19745968437678352</v>
      </c>
    </row>
    <row r="258" spans="1:13" x14ac:dyDescent="0.35">
      <c r="A258">
        <v>2256</v>
      </c>
      <c r="B258" s="2">
        <v>45474</v>
      </c>
      <c r="C258" t="s">
        <v>34</v>
      </c>
      <c r="D258" t="s">
        <v>18</v>
      </c>
      <c r="E258" t="s">
        <v>19</v>
      </c>
      <c r="F258" t="s">
        <v>15</v>
      </c>
      <c r="G258" t="s">
        <v>20</v>
      </c>
      <c r="H258">
        <v>1</v>
      </c>
      <c r="I258" s="5">
        <v>41090</v>
      </c>
      <c r="J258" s="5">
        <v>41090</v>
      </c>
      <c r="K258" s="5">
        <v>28963.17</v>
      </c>
      <c r="L258" s="5">
        <v>12126.83</v>
      </c>
      <c r="M258" s="4">
        <f t="shared" si="3"/>
        <v>0.29512849841810657</v>
      </c>
    </row>
    <row r="259" spans="1:13" x14ac:dyDescent="0.35">
      <c r="A259">
        <v>2257</v>
      </c>
      <c r="B259" s="2">
        <v>45330</v>
      </c>
      <c r="C259" t="s">
        <v>26</v>
      </c>
      <c r="D259" t="s">
        <v>22</v>
      </c>
      <c r="E259" t="s">
        <v>23</v>
      </c>
      <c r="F259" t="s">
        <v>24</v>
      </c>
      <c r="G259" t="s">
        <v>25</v>
      </c>
      <c r="H259">
        <v>4</v>
      </c>
      <c r="I259" s="5">
        <v>63121</v>
      </c>
      <c r="J259" s="5">
        <v>252484</v>
      </c>
      <c r="K259" s="5">
        <v>195855.11</v>
      </c>
      <c r="L259" s="5">
        <v>56628.89</v>
      </c>
      <c r="M259" s="4">
        <f t="shared" ref="M259:M322" si="4">L259/J259</f>
        <v>0.22428704393149665</v>
      </c>
    </row>
    <row r="260" spans="1:13" x14ac:dyDescent="0.35">
      <c r="A260">
        <v>2258</v>
      </c>
      <c r="B260" s="2">
        <v>45347</v>
      </c>
      <c r="C260" t="s">
        <v>31</v>
      </c>
      <c r="D260" t="s">
        <v>13</v>
      </c>
      <c r="E260" t="s">
        <v>14</v>
      </c>
      <c r="F260" t="s">
        <v>15</v>
      </c>
      <c r="G260" t="s">
        <v>35</v>
      </c>
      <c r="H260">
        <v>2</v>
      </c>
      <c r="I260" s="5">
        <v>47779</v>
      </c>
      <c r="J260" s="5">
        <v>95558</v>
      </c>
      <c r="K260" s="5">
        <v>76283.39</v>
      </c>
      <c r="L260" s="5">
        <v>19274.61</v>
      </c>
      <c r="M260" s="4">
        <f t="shared" si="4"/>
        <v>0.20170587496598924</v>
      </c>
    </row>
    <row r="261" spans="1:13" x14ac:dyDescent="0.35">
      <c r="A261">
        <v>2259</v>
      </c>
      <c r="B261" s="2">
        <v>45528</v>
      </c>
      <c r="C261" t="s">
        <v>12</v>
      </c>
      <c r="D261" t="s">
        <v>41</v>
      </c>
      <c r="E261" t="s">
        <v>42</v>
      </c>
      <c r="F261" t="s">
        <v>24</v>
      </c>
      <c r="G261" t="s">
        <v>16</v>
      </c>
      <c r="H261">
        <v>2</v>
      </c>
      <c r="I261" s="5">
        <v>29565</v>
      </c>
      <c r="J261" s="5">
        <v>59130</v>
      </c>
      <c r="K261" s="5">
        <v>39963.589999999997</v>
      </c>
      <c r="L261" s="5">
        <v>19166.41</v>
      </c>
      <c r="M261" s="4">
        <f t="shared" si="4"/>
        <v>0.32414019956029089</v>
      </c>
    </row>
    <row r="262" spans="1:13" x14ac:dyDescent="0.35">
      <c r="A262">
        <v>2260</v>
      </c>
      <c r="B262" s="2">
        <v>45390</v>
      </c>
      <c r="C262" t="s">
        <v>36</v>
      </c>
      <c r="D262" t="s">
        <v>18</v>
      </c>
      <c r="E262" t="s">
        <v>19</v>
      </c>
      <c r="F262" t="s">
        <v>15</v>
      </c>
      <c r="G262" t="s">
        <v>38</v>
      </c>
      <c r="H262">
        <v>4</v>
      </c>
      <c r="I262" s="5">
        <v>37620</v>
      </c>
      <c r="J262" s="5">
        <v>150480</v>
      </c>
      <c r="K262" s="5">
        <v>122329.39</v>
      </c>
      <c r="L262" s="5">
        <v>28150.61</v>
      </c>
      <c r="M262" s="4">
        <f t="shared" si="4"/>
        <v>0.18707210260499735</v>
      </c>
    </row>
    <row r="263" spans="1:13" x14ac:dyDescent="0.35">
      <c r="A263">
        <v>2261</v>
      </c>
      <c r="B263" s="2">
        <v>45619</v>
      </c>
      <c r="C263" t="s">
        <v>17</v>
      </c>
      <c r="D263" t="s">
        <v>32</v>
      </c>
      <c r="E263" t="s">
        <v>33</v>
      </c>
      <c r="F263" t="s">
        <v>24</v>
      </c>
      <c r="G263" t="s">
        <v>38</v>
      </c>
      <c r="H263">
        <v>4</v>
      </c>
      <c r="I263" s="5">
        <v>69354</v>
      </c>
      <c r="J263" s="5">
        <v>277416</v>
      </c>
      <c r="K263" s="5">
        <v>235589.36</v>
      </c>
      <c r="L263" s="5">
        <v>41826.639999999999</v>
      </c>
      <c r="M263" s="4">
        <f t="shared" si="4"/>
        <v>0.15077226980419298</v>
      </c>
    </row>
    <row r="264" spans="1:13" x14ac:dyDescent="0.35">
      <c r="A264">
        <v>2262</v>
      </c>
      <c r="B264" s="2">
        <v>45532</v>
      </c>
      <c r="C264" t="s">
        <v>34</v>
      </c>
      <c r="D264" t="s">
        <v>41</v>
      </c>
      <c r="E264" t="s">
        <v>42</v>
      </c>
      <c r="F264" t="s">
        <v>24</v>
      </c>
      <c r="G264" t="s">
        <v>30</v>
      </c>
      <c r="H264">
        <v>3</v>
      </c>
      <c r="I264" s="5">
        <v>38206</v>
      </c>
      <c r="J264" s="5">
        <v>114618</v>
      </c>
      <c r="K264" s="5">
        <v>80632.03</v>
      </c>
      <c r="L264" s="5">
        <v>33985.97</v>
      </c>
      <c r="M264" s="4">
        <f t="shared" si="4"/>
        <v>0.29651511978921286</v>
      </c>
    </row>
    <row r="265" spans="1:13" x14ac:dyDescent="0.35">
      <c r="A265">
        <v>2263</v>
      </c>
      <c r="B265" s="2">
        <v>45510</v>
      </c>
      <c r="C265" t="s">
        <v>34</v>
      </c>
      <c r="D265" t="s">
        <v>22</v>
      </c>
      <c r="E265" t="s">
        <v>23</v>
      </c>
      <c r="F265" t="s">
        <v>24</v>
      </c>
      <c r="G265" t="s">
        <v>35</v>
      </c>
      <c r="H265">
        <v>2</v>
      </c>
      <c r="I265" s="5">
        <v>71120</v>
      </c>
      <c r="J265" s="5">
        <v>142240</v>
      </c>
      <c r="K265" s="5">
        <v>92532.67</v>
      </c>
      <c r="L265" s="5">
        <v>49707.33</v>
      </c>
      <c r="M265" s="4">
        <f t="shared" si="4"/>
        <v>0.34946098143982002</v>
      </c>
    </row>
    <row r="266" spans="1:13" x14ac:dyDescent="0.35">
      <c r="A266">
        <v>2264</v>
      </c>
      <c r="B266" s="2">
        <v>45627</v>
      </c>
      <c r="C266" t="s">
        <v>17</v>
      </c>
      <c r="D266" t="s">
        <v>13</v>
      </c>
      <c r="E266" t="s">
        <v>39</v>
      </c>
      <c r="F266" t="s">
        <v>24</v>
      </c>
      <c r="G266" t="s">
        <v>30</v>
      </c>
      <c r="H266">
        <v>3</v>
      </c>
      <c r="I266" s="5">
        <v>49985</v>
      </c>
      <c r="J266" s="5">
        <v>149955</v>
      </c>
      <c r="K266" s="5">
        <v>111852.94</v>
      </c>
      <c r="L266" s="5">
        <v>38102.06</v>
      </c>
      <c r="M266" s="4">
        <f t="shared" si="4"/>
        <v>0.25408996032142972</v>
      </c>
    </row>
    <row r="267" spans="1:13" x14ac:dyDescent="0.35">
      <c r="A267">
        <v>2265</v>
      </c>
      <c r="B267" s="2">
        <v>45335</v>
      </c>
      <c r="C267" t="s">
        <v>31</v>
      </c>
      <c r="D267" t="s">
        <v>22</v>
      </c>
      <c r="E267" t="s">
        <v>23</v>
      </c>
      <c r="F267" t="s">
        <v>24</v>
      </c>
      <c r="G267" t="s">
        <v>38</v>
      </c>
      <c r="H267">
        <v>3</v>
      </c>
      <c r="I267" s="5">
        <v>28021</v>
      </c>
      <c r="J267" s="5">
        <v>84063</v>
      </c>
      <c r="K267" s="5">
        <v>70255.25</v>
      </c>
      <c r="L267" s="5">
        <v>13807.75</v>
      </c>
      <c r="M267" s="4">
        <f t="shared" si="4"/>
        <v>0.16425478510164995</v>
      </c>
    </row>
    <row r="268" spans="1:13" x14ac:dyDescent="0.35">
      <c r="A268">
        <v>2266</v>
      </c>
      <c r="B268" s="2">
        <v>45581</v>
      </c>
      <c r="C268" t="s">
        <v>26</v>
      </c>
      <c r="D268" t="s">
        <v>22</v>
      </c>
      <c r="E268" t="s">
        <v>23</v>
      </c>
      <c r="F268" t="s">
        <v>24</v>
      </c>
      <c r="G268" t="s">
        <v>25</v>
      </c>
      <c r="H268">
        <v>3</v>
      </c>
      <c r="I268" s="5">
        <v>26402</v>
      </c>
      <c r="J268" s="5">
        <v>79206</v>
      </c>
      <c r="K268" s="5">
        <v>59890</v>
      </c>
      <c r="L268" s="5">
        <v>19316</v>
      </c>
      <c r="M268" s="4">
        <f t="shared" si="4"/>
        <v>0.24387041385753605</v>
      </c>
    </row>
    <row r="269" spans="1:13" x14ac:dyDescent="0.35">
      <c r="A269">
        <v>2267</v>
      </c>
      <c r="B269" s="2">
        <v>45299</v>
      </c>
      <c r="C269" t="s">
        <v>34</v>
      </c>
      <c r="D269" t="s">
        <v>13</v>
      </c>
      <c r="E269" t="s">
        <v>14</v>
      </c>
      <c r="F269" t="s">
        <v>15</v>
      </c>
      <c r="G269" t="s">
        <v>20</v>
      </c>
      <c r="H269">
        <v>1</v>
      </c>
      <c r="I269" s="5">
        <v>35492</v>
      </c>
      <c r="J269" s="5">
        <v>35492</v>
      </c>
      <c r="K269" s="5">
        <v>29825.83</v>
      </c>
      <c r="L269" s="5">
        <v>5666.17</v>
      </c>
      <c r="M269" s="4">
        <f t="shared" si="4"/>
        <v>0.15964639918854953</v>
      </c>
    </row>
    <row r="270" spans="1:13" x14ac:dyDescent="0.35">
      <c r="A270">
        <v>2268</v>
      </c>
      <c r="B270" s="2">
        <v>45343</v>
      </c>
      <c r="C270" t="s">
        <v>17</v>
      </c>
      <c r="D270" t="s">
        <v>13</v>
      </c>
      <c r="E270" t="s">
        <v>39</v>
      </c>
      <c r="F270" t="s">
        <v>24</v>
      </c>
      <c r="G270" t="s">
        <v>20</v>
      </c>
      <c r="H270">
        <v>5</v>
      </c>
      <c r="I270" s="5">
        <v>26708</v>
      </c>
      <c r="J270" s="5">
        <v>133540</v>
      </c>
      <c r="K270" s="5">
        <v>109614.27</v>
      </c>
      <c r="L270" s="5">
        <v>23925.73</v>
      </c>
      <c r="M270" s="4">
        <f t="shared" si="4"/>
        <v>0.17916526883330836</v>
      </c>
    </row>
    <row r="271" spans="1:13" x14ac:dyDescent="0.35">
      <c r="A271">
        <v>2269</v>
      </c>
      <c r="B271" s="2">
        <v>45469</v>
      </c>
      <c r="C271" t="s">
        <v>36</v>
      </c>
      <c r="D271" t="s">
        <v>32</v>
      </c>
      <c r="E271" t="s">
        <v>33</v>
      </c>
      <c r="F271" t="s">
        <v>24</v>
      </c>
      <c r="G271" t="s">
        <v>16</v>
      </c>
      <c r="H271">
        <v>2</v>
      </c>
      <c r="I271" s="5">
        <v>35333</v>
      </c>
      <c r="J271" s="5">
        <v>70666</v>
      </c>
      <c r="K271" s="5">
        <v>58710.55</v>
      </c>
      <c r="L271" s="5">
        <v>11955.45</v>
      </c>
      <c r="M271" s="4">
        <f t="shared" si="4"/>
        <v>0.16918249228766311</v>
      </c>
    </row>
    <row r="272" spans="1:13" x14ac:dyDescent="0.35">
      <c r="A272">
        <v>2270</v>
      </c>
      <c r="B272" s="2">
        <v>45644</v>
      </c>
      <c r="C272" t="s">
        <v>12</v>
      </c>
      <c r="D272" t="s">
        <v>41</v>
      </c>
      <c r="E272" t="s">
        <v>42</v>
      </c>
      <c r="F272" t="s">
        <v>24</v>
      </c>
      <c r="G272" t="s">
        <v>20</v>
      </c>
      <c r="H272">
        <v>5</v>
      </c>
      <c r="I272" s="5">
        <v>19849</v>
      </c>
      <c r="J272" s="5">
        <v>99245</v>
      </c>
      <c r="K272" s="5">
        <v>77777.47</v>
      </c>
      <c r="L272" s="5">
        <v>21467.53</v>
      </c>
      <c r="M272" s="4">
        <f t="shared" si="4"/>
        <v>0.21630842863620334</v>
      </c>
    </row>
    <row r="273" spans="1:13" x14ac:dyDescent="0.35">
      <c r="A273">
        <v>2271</v>
      </c>
      <c r="B273" s="2">
        <v>45444</v>
      </c>
      <c r="C273" t="s">
        <v>36</v>
      </c>
      <c r="D273" t="s">
        <v>41</v>
      </c>
      <c r="E273" t="s">
        <v>42</v>
      </c>
      <c r="F273" t="s">
        <v>24</v>
      </c>
      <c r="G273" t="s">
        <v>38</v>
      </c>
      <c r="H273">
        <v>2</v>
      </c>
      <c r="I273" s="5">
        <v>72810</v>
      </c>
      <c r="J273" s="5">
        <v>145620</v>
      </c>
      <c r="K273" s="5">
        <v>114829.89</v>
      </c>
      <c r="L273" s="5">
        <v>30790.11</v>
      </c>
      <c r="M273" s="4">
        <f t="shared" si="4"/>
        <v>0.21144149155335806</v>
      </c>
    </row>
    <row r="274" spans="1:13" x14ac:dyDescent="0.35">
      <c r="A274">
        <v>2272</v>
      </c>
      <c r="B274" s="2">
        <v>45516</v>
      </c>
      <c r="C274" t="s">
        <v>26</v>
      </c>
      <c r="D274" t="s">
        <v>41</v>
      </c>
      <c r="E274" t="s">
        <v>42</v>
      </c>
      <c r="F274" t="s">
        <v>24</v>
      </c>
      <c r="G274" t="s">
        <v>38</v>
      </c>
      <c r="H274">
        <v>1</v>
      </c>
      <c r="I274" s="5">
        <v>23521</v>
      </c>
      <c r="J274" s="5">
        <v>23521</v>
      </c>
      <c r="K274" s="5">
        <v>16532.88</v>
      </c>
      <c r="L274" s="5">
        <v>6988.12</v>
      </c>
      <c r="M274" s="4">
        <f t="shared" si="4"/>
        <v>0.29710131371965476</v>
      </c>
    </row>
    <row r="275" spans="1:13" x14ac:dyDescent="0.35">
      <c r="A275">
        <v>2273</v>
      </c>
      <c r="B275" s="2">
        <v>45534</v>
      </c>
      <c r="C275" t="s">
        <v>36</v>
      </c>
      <c r="D275" t="s">
        <v>32</v>
      </c>
      <c r="E275" t="s">
        <v>40</v>
      </c>
      <c r="F275" t="s">
        <v>15</v>
      </c>
      <c r="G275" t="s">
        <v>30</v>
      </c>
      <c r="H275">
        <v>4</v>
      </c>
      <c r="I275" s="5">
        <v>15661</v>
      </c>
      <c r="J275" s="5">
        <v>62644</v>
      </c>
      <c r="K275" s="5">
        <v>46787.18</v>
      </c>
      <c r="L275" s="5">
        <v>15856.82</v>
      </c>
      <c r="M275" s="4">
        <f t="shared" si="4"/>
        <v>0.25312591788519251</v>
      </c>
    </row>
    <row r="276" spans="1:13" x14ac:dyDescent="0.35">
      <c r="A276">
        <v>2274</v>
      </c>
      <c r="B276" s="2">
        <v>45418</v>
      </c>
      <c r="C276" t="s">
        <v>34</v>
      </c>
      <c r="D276" t="s">
        <v>32</v>
      </c>
      <c r="E276" t="s">
        <v>33</v>
      </c>
      <c r="F276" t="s">
        <v>24</v>
      </c>
      <c r="G276" t="s">
        <v>16</v>
      </c>
      <c r="H276">
        <v>4</v>
      </c>
      <c r="I276" s="5">
        <v>29576</v>
      </c>
      <c r="J276" s="5">
        <v>118304</v>
      </c>
      <c r="K276" s="5">
        <v>89663.61</v>
      </c>
      <c r="L276" s="5">
        <v>28640.39</v>
      </c>
      <c r="M276" s="4">
        <f t="shared" si="4"/>
        <v>0.24209147619691643</v>
      </c>
    </row>
    <row r="277" spans="1:13" x14ac:dyDescent="0.35">
      <c r="A277">
        <v>2275</v>
      </c>
      <c r="B277" s="2">
        <v>45531</v>
      </c>
      <c r="C277" t="s">
        <v>12</v>
      </c>
      <c r="D277" t="s">
        <v>18</v>
      </c>
      <c r="E277" t="s">
        <v>43</v>
      </c>
      <c r="F277" t="s">
        <v>24</v>
      </c>
      <c r="G277" t="s">
        <v>35</v>
      </c>
      <c r="H277">
        <v>5</v>
      </c>
      <c r="I277" s="5">
        <v>73222</v>
      </c>
      <c r="J277" s="5">
        <v>366110</v>
      </c>
      <c r="K277" s="5">
        <v>286686.14</v>
      </c>
      <c r="L277" s="5">
        <v>79423.86</v>
      </c>
      <c r="M277" s="4">
        <f t="shared" si="4"/>
        <v>0.2169398814563929</v>
      </c>
    </row>
    <row r="278" spans="1:13" x14ac:dyDescent="0.35">
      <c r="A278">
        <v>2276</v>
      </c>
      <c r="B278" s="2">
        <v>45506</v>
      </c>
      <c r="C278" t="s">
        <v>17</v>
      </c>
      <c r="D278" t="s">
        <v>22</v>
      </c>
      <c r="E278" t="s">
        <v>37</v>
      </c>
      <c r="F278" t="s">
        <v>24</v>
      </c>
      <c r="G278" t="s">
        <v>16</v>
      </c>
      <c r="H278">
        <v>1</v>
      </c>
      <c r="I278" s="5">
        <v>31660</v>
      </c>
      <c r="J278" s="5">
        <v>31660</v>
      </c>
      <c r="K278" s="5">
        <v>24612.74</v>
      </c>
      <c r="L278" s="5">
        <v>7047.26</v>
      </c>
      <c r="M278" s="4">
        <f t="shared" si="4"/>
        <v>0.22259191408717627</v>
      </c>
    </row>
    <row r="279" spans="1:13" x14ac:dyDescent="0.35">
      <c r="A279">
        <v>2277</v>
      </c>
      <c r="B279" s="2">
        <v>45315</v>
      </c>
      <c r="C279" t="s">
        <v>26</v>
      </c>
      <c r="D279" t="s">
        <v>18</v>
      </c>
      <c r="E279" t="s">
        <v>43</v>
      </c>
      <c r="F279" t="s">
        <v>24</v>
      </c>
      <c r="G279" t="s">
        <v>20</v>
      </c>
      <c r="H279">
        <v>3</v>
      </c>
      <c r="I279" s="5">
        <v>20317</v>
      </c>
      <c r="J279" s="5">
        <v>60951</v>
      </c>
      <c r="K279" s="5">
        <v>45842.78</v>
      </c>
      <c r="L279" s="5">
        <v>15108.22</v>
      </c>
      <c r="M279" s="4">
        <f t="shared" si="4"/>
        <v>0.24787485028957687</v>
      </c>
    </row>
    <row r="280" spans="1:13" x14ac:dyDescent="0.35">
      <c r="A280">
        <v>2278</v>
      </c>
      <c r="B280" s="2">
        <v>45309</v>
      </c>
      <c r="C280" t="s">
        <v>36</v>
      </c>
      <c r="D280" t="s">
        <v>22</v>
      </c>
      <c r="E280" t="s">
        <v>37</v>
      </c>
      <c r="F280" t="s">
        <v>24</v>
      </c>
      <c r="G280" t="s">
        <v>30</v>
      </c>
      <c r="H280">
        <v>2</v>
      </c>
      <c r="I280" s="5">
        <v>62472</v>
      </c>
      <c r="J280" s="5">
        <v>124944</v>
      </c>
      <c r="K280" s="5">
        <v>96838.54</v>
      </c>
      <c r="L280" s="5">
        <v>28105.46</v>
      </c>
      <c r="M280" s="4">
        <f t="shared" si="4"/>
        <v>0.22494445511589192</v>
      </c>
    </row>
    <row r="281" spans="1:13" x14ac:dyDescent="0.35">
      <c r="A281">
        <v>2279</v>
      </c>
      <c r="B281" s="2">
        <v>45479</v>
      </c>
      <c r="C281" t="s">
        <v>26</v>
      </c>
      <c r="D281" t="s">
        <v>13</v>
      </c>
      <c r="E281" t="s">
        <v>14</v>
      </c>
      <c r="F281" t="s">
        <v>15</v>
      </c>
      <c r="G281" t="s">
        <v>38</v>
      </c>
      <c r="H281">
        <v>3</v>
      </c>
      <c r="I281" s="5">
        <v>70198</v>
      </c>
      <c r="J281" s="5">
        <v>210594</v>
      </c>
      <c r="K281" s="5">
        <v>169676.6</v>
      </c>
      <c r="L281" s="5">
        <v>40917.4</v>
      </c>
      <c r="M281" s="4">
        <f t="shared" si="4"/>
        <v>0.1942951840983124</v>
      </c>
    </row>
    <row r="282" spans="1:13" x14ac:dyDescent="0.35">
      <c r="A282">
        <v>2280</v>
      </c>
      <c r="B282" s="2">
        <v>45437</v>
      </c>
      <c r="C282" t="s">
        <v>36</v>
      </c>
      <c r="D282" t="s">
        <v>41</v>
      </c>
      <c r="E282" t="s">
        <v>42</v>
      </c>
      <c r="F282" t="s">
        <v>24</v>
      </c>
      <c r="G282" t="s">
        <v>30</v>
      </c>
      <c r="H282">
        <v>4</v>
      </c>
      <c r="I282" s="5">
        <v>52820</v>
      </c>
      <c r="J282" s="5">
        <v>211280</v>
      </c>
      <c r="K282" s="5">
        <v>155180.45000000001</v>
      </c>
      <c r="L282" s="5">
        <v>56099.55</v>
      </c>
      <c r="M282" s="4">
        <f t="shared" si="4"/>
        <v>0.2655222926921621</v>
      </c>
    </row>
    <row r="283" spans="1:13" x14ac:dyDescent="0.35">
      <c r="A283">
        <v>2281</v>
      </c>
      <c r="B283" s="2">
        <v>45441</v>
      </c>
      <c r="C283" t="s">
        <v>26</v>
      </c>
      <c r="D283" t="s">
        <v>41</v>
      </c>
      <c r="E283" t="s">
        <v>42</v>
      </c>
      <c r="F283" t="s">
        <v>24</v>
      </c>
      <c r="G283" t="s">
        <v>35</v>
      </c>
      <c r="H283">
        <v>3</v>
      </c>
      <c r="I283" s="5">
        <v>72714</v>
      </c>
      <c r="J283" s="5">
        <v>218142</v>
      </c>
      <c r="K283" s="5">
        <v>159406.38</v>
      </c>
      <c r="L283" s="5">
        <v>58735.62</v>
      </c>
      <c r="M283" s="4">
        <f t="shared" si="4"/>
        <v>0.26925406386665568</v>
      </c>
    </row>
    <row r="284" spans="1:13" x14ac:dyDescent="0.35">
      <c r="A284">
        <v>2282</v>
      </c>
      <c r="B284" s="2">
        <v>45468</v>
      </c>
      <c r="C284" t="s">
        <v>17</v>
      </c>
      <c r="D284" t="s">
        <v>41</v>
      </c>
      <c r="E284" t="s">
        <v>42</v>
      </c>
      <c r="F284" t="s">
        <v>24</v>
      </c>
      <c r="G284" t="s">
        <v>20</v>
      </c>
      <c r="H284">
        <v>2</v>
      </c>
      <c r="I284" s="5">
        <v>72512</v>
      </c>
      <c r="J284" s="5">
        <v>145024</v>
      </c>
      <c r="K284" s="5">
        <v>117235.98</v>
      </c>
      <c r="L284" s="5">
        <v>27788.02</v>
      </c>
      <c r="M284" s="4">
        <f t="shared" si="4"/>
        <v>0.19160980251544571</v>
      </c>
    </row>
    <row r="285" spans="1:13" x14ac:dyDescent="0.35">
      <c r="A285">
        <v>2283</v>
      </c>
      <c r="B285" s="2">
        <v>45657</v>
      </c>
      <c r="C285" t="s">
        <v>12</v>
      </c>
      <c r="D285" t="s">
        <v>13</v>
      </c>
      <c r="E285" t="s">
        <v>14</v>
      </c>
      <c r="F285" t="s">
        <v>15</v>
      </c>
      <c r="G285" t="s">
        <v>35</v>
      </c>
      <c r="H285">
        <v>3</v>
      </c>
      <c r="I285" s="5">
        <v>24720</v>
      </c>
      <c r="J285" s="5">
        <v>74160</v>
      </c>
      <c r="K285" s="5">
        <v>56902.239999999998</v>
      </c>
      <c r="L285" s="5">
        <v>17257.759999999998</v>
      </c>
      <c r="M285" s="4">
        <f t="shared" si="4"/>
        <v>0.23270981661272921</v>
      </c>
    </row>
    <row r="286" spans="1:13" x14ac:dyDescent="0.35">
      <c r="A286">
        <v>2284</v>
      </c>
      <c r="B286" s="2">
        <v>45496</v>
      </c>
      <c r="C286" t="s">
        <v>36</v>
      </c>
      <c r="D286" t="s">
        <v>18</v>
      </c>
      <c r="E286" t="s">
        <v>19</v>
      </c>
      <c r="F286" t="s">
        <v>15</v>
      </c>
      <c r="G286" t="s">
        <v>25</v>
      </c>
      <c r="H286">
        <v>5</v>
      </c>
      <c r="I286" s="5">
        <v>61219</v>
      </c>
      <c r="J286" s="5">
        <v>306095</v>
      </c>
      <c r="K286" s="5">
        <v>232350.66</v>
      </c>
      <c r="L286" s="5">
        <v>73744.34</v>
      </c>
      <c r="M286" s="4">
        <f t="shared" si="4"/>
        <v>0.24091977980692267</v>
      </c>
    </row>
    <row r="287" spans="1:13" x14ac:dyDescent="0.35">
      <c r="A287">
        <v>2285</v>
      </c>
      <c r="B287" s="2">
        <v>45347</v>
      </c>
      <c r="C287" t="s">
        <v>21</v>
      </c>
      <c r="D287" t="s">
        <v>18</v>
      </c>
      <c r="E287" t="s">
        <v>43</v>
      </c>
      <c r="F287" t="s">
        <v>24</v>
      </c>
      <c r="G287" t="s">
        <v>35</v>
      </c>
      <c r="H287">
        <v>1</v>
      </c>
      <c r="I287" s="5">
        <v>14081</v>
      </c>
      <c r="J287" s="5">
        <v>14081</v>
      </c>
      <c r="K287" s="5">
        <v>9687.56</v>
      </c>
      <c r="L287" s="5">
        <v>4393.4399999999996</v>
      </c>
      <c r="M287" s="4">
        <f t="shared" si="4"/>
        <v>0.3120119309708117</v>
      </c>
    </row>
    <row r="288" spans="1:13" x14ac:dyDescent="0.35">
      <c r="A288">
        <v>2286</v>
      </c>
      <c r="B288" s="2">
        <v>45322</v>
      </c>
      <c r="C288" t="s">
        <v>31</v>
      </c>
      <c r="D288" t="s">
        <v>22</v>
      </c>
      <c r="E288" t="s">
        <v>37</v>
      </c>
      <c r="F288" t="s">
        <v>24</v>
      </c>
      <c r="G288" t="s">
        <v>38</v>
      </c>
      <c r="H288">
        <v>5</v>
      </c>
      <c r="I288" s="5">
        <v>79257</v>
      </c>
      <c r="J288" s="5">
        <v>396285</v>
      </c>
      <c r="K288" s="5">
        <v>306069.94</v>
      </c>
      <c r="L288" s="5">
        <v>90215.06</v>
      </c>
      <c r="M288" s="4">
        <f t="shared" si="4"/>
        <v>0.22765196764954515</v>
      </c>
    </row>
    <row r="289" spans="1:13" x14ac:dyDescent="0.35">
      <c r="A289">
        <v>2287</v>
      </c>
      <c r="B289" s="2">
        <v>45636</v>
      </c>
      <c r="C289" t="s">
        <v>12</v>
      </c>
      <c r="D289" t="s">
        <v>27</v>
      </c>
      <c r="E289" t="s">
        <v>28</v>
      </c>
      <c r="F289" t="s">
        <v>29</v>
      </c>
      <c r="G289" t="s">
        <v>38</v>
      </c>
      <c r="H289">
        <v>5</v>
      </c>
      <c r="I289" s="5">
        <v>18879</v>
      </c>
      <c r="J289" s="5">
        <v>94395</v>
      </c>
      <c r="K289" s="5">
        <v>65368.56</v>
      </c>
      <c r="L289" s="5">
        <v>29026.44</v>
      </c>
      <c r="M289" s="4">
        <f t="shared" si="4"/>
        <v>0.30749976163991738</v>
      </c>
    </row>
    <row r="290" spans="1:13" x14ac:dyDescent="0.35">
      <c r="A290">
        <v>2288</v>
      </c>
      <c r="B290" s="2">
        <v>45343</v>
      </c>
      <c r="C290" t="s">
        <v>34</v>
      </c>
      <c r="D290" t="s">
        <v>22</v>
      </c>
      <c r="E290" t="s">
        <v>37</v>
      </c>
      <c r="F290" t="s">
        <v>24</v>
      </c>
      <c r="G290" t="s">
        <v>30</v>
      </c>
      <c r="H290">
        <v>2</v>
      </c>
      <c r="I290" s="5">
        <v>12846</v>
      </c>
      <c r="J290" s="5">
        <v>25692</v>
      </c>
      <c r="K290" s="5">
        <v>18866</v>
      </c>
      <c r="L290" s="5">
        <v>6826</v>
      </c>
      <c r="M290" s="4">
        <f t="shared" si="4"/>
        <v>0.26568581659660595</v>
      </c>
    </row>
    <row r="291" spans="1:13" x14ac:dyDescent="0.35">
      <c r="A291">
        <v>2289</v>
      </c>
      <c r="B291" s="2">
        <v>45480</v>
      </c>
      <c r="C291" t="s">
        <v>34</v>
      </c>
      <c r="D291" t="s">
        <v>18</v>
      </c>
      <c r="E291" t="s">
        <v>19</v>
      </c>
      <c r="F291" t="s">
        <v>15</v>
      </c>
      <c r="G291" t="s">
        <v>25</v>
      </c>
      <c r="H291">
        <v>2</v>
      </c>
      <c r="I291" s="5">
        <v>48546</v>
      </c>
      <c r="J291" s="5">
        <v>97092</v>
      </c>
      <c r="K291" s="5">
        <v>74024.91</v>
      </c>
      <c r="L291" s="5">
        <v>23067.09</v>
      </c>
      <c r="M291" s="4">
        <f t="shared" si="4"/>
        <v>0.23757971820541343</v>
      </c>
    </row>
    <row r="292" spans="1:13" x14ac:dyDescent="0.35">
      <c r="A292">
        <v>2290</v>
      </c>
      <c r="B292" s="2">
        <v>45386</v>
      </c>
      <c r="C292" t="s">
        <v>36</v>
      </c>
      <c r="D292" t="s">
        <v>13</v>
      </c>
      <c r="E292" t="s">
        <v>39</v>
      </c>
      <c r="F292" t="s">
        <v>24</v>
      </c>
      <c r="G292" t="s">
        <v>35</v>
      </c>
      <c r="H292">
        <v>4</v>
      </c>
      <c r="I292" s="5">
        <v>12488</v>
      </c>
      <c r="J292" s="5">
        <v>49952</v>
      </c>
      <c r="K292" s="5">
        <v>35650.51</v>
      </c>
      <c r="L292" s="5">
        <v>14301.49</v>
      </c>
      <c r="M292" s="4">
        <f t="shared" si="4"/>
        <v>0.28630465246636772</v>
      </c>
    </row>
    <row r="293" spans="1:13" x14ac:dyDescent="0.35">
      <c r="A293">
        <v>2291</v>
      </c>
      <c r="B293" s="2">
        <v>45588</v>
      </c>
      <c r="C293" t="s">
        <v>31</v>
      </c>
      <c r="D293" t="s">
        <v>22</v>
      </c>
      <c r="E293" t="s">
        <v>23</v>
      </c>
      <c r="F293" t="s">
        <v>24</v>
      </c>
      <c r="G293" t="s">
        <v>38</v>
      </c>
      <c r="H293">
        <v>1</v>
      </c>
      <c r="I293" s="5">
        <v>73243</v>
      </c>
      <c r="J293" s="5">
        <v>73243</v>
      </c>
      <c r="K293" s="5">
        <v>55921.14</v>
      </c>
      <c r="L293" s="5">
        <v>17321.86</v>
      </c>
      <c r="M293" s="4">
        <f t="shared" si="4"/>
        <v>0.23649850497658481</v>
      </c>
    </row>
    <row r="294" spans="1:13" x14ac:dyDescent="0.35">
      <c r="A294">
        <v>2292</v>
      </c>
      <c r="B294" s="2">
        <v>45507</v>
      </c>
      <c r="C294" t="s">
        <v>36</v>
      </c>
      <c r="D294" t="s">
        <v>18</v>
      </c>
      <c r="E294" t="s">
        <v>43</v>
      </c>
      <c r="F294" t="s">
        <v>24</v>
      </c>
      <c r="G294" t="s">
        <v>25</v>
      </c>
      <c r="H294">
        <v>5</v>
      </c>
      <c r="I294" s="5">
        <v>61038</v>
      </c>
      <c r="J294" s="5">
        <v>305190</v>
      </c>
      <c r="K294" s="5">
        <v>225625.24</v>
      </c>
      <c r="L294" s="5">
        <v>79564.759999999995</v>
      </c>
      <c r="M294" s="4">
        <f t="shared" si="4"/>
        <v>0.26070565876994656</v>
      </c>
    </row>
    <row r="295" spans="1:13" x14ac:dyDescent="0.35">
      <c r="A295">
        <v>2293</v>
      </c>
      <c r="B295" s="2">
        <v>45596</v>
      </c>
      <c r="C295" t="s">
        <v>34</v>
      </c>
      <c r="D295" t="s">
        <v>18</v>
      </c>
      <c r="E295" t="s">
        <v>43</v>
      </c>
      <c r="F295" t="s">
        <v>24</v>
      </c>
      <c r="G295" t="s">
        <v>16</v>
      </c>
      <c r="H295">
        <v>5</v>
      </c>
      <c r="I295" s="5">
        <v>28354</v>
      </c>
      <c r="J295" s="5">
        <v>141770</v>
      </c>
      <c r="K295" s="5">
        <v>105631.36</v>
      </c>
      <c r="L295" s="5">
        <v>36138.639999999999</v>
      </c>
      <c r="M295" s="4">
        <f t="shared" si="4"/>
        <v>0.25491034774634974</v>
      </c>
    </row>
    <row r="296" spans="1:13" x14ac:dyDescent="0.35">
      <c r="A296">
        <v>2294</v>
      </c>
      <c r="B296" s="2">
        <v>45334</v>
      </c>
      <c r="C296" t="s">
        <v>31</v>
      </c>
      <c r="D296" t="s">
        <v>22</v>
      </c>
      <c r="E296" t="s">
        <v>23</v>
      </c>
      <c r="F296" t="s">
        <v>24</v>
      </c>
      <c r="G296" t="s">
        <v>25</v>
      </c>
      <c r="H296">
        <v>4</v>
      </c>
      <c r="I296" s="5">
        <v>35823</v>
      </c>
      <c r="J296" s="5">
        <v>143292</v>
      </c>
      <c r="K296" s="5">
        <v>118811.2</v>
      </c>
      <c r="L296" s="5">
        <v>24480.799999999999</v>
      </c>
      <c r="M296" s="4">
        <f t="shared" si="4"/>
        <v>0.17084554615749659</v>
      </c>
    </row>
    <row r="297" spans="1:13" x14ac:dyDescent="0.35">
      <c r="A297">
        <v>2295</v>
      </c>
      <c r="B297" s="2">
        <v>45296</v>
      </c>
      <c r="C297" t="s">
        <v>21</v>
      </c>
      <c r="D297" t="s">
        <v>18</v>
      </c>
      <c r="E297" t="s">
        <v>43</v>
      </c>
      <c r="F297" t="s">
        <v>24</v>
      </c>
      <c r="G297" t="s">
        <v>25</v>
      </c>
      <c r="H297">
        <v>1</v>
      </c>
      <c r="I297" s="5">
        <v>19552</v>
      </c>
      <c r="J297" s="5">
        <v>19552</v>
      </c>
      <c r="K297" s="5">
        <v>13562.23</v>
      </c>
      <c r="L297" s="5">
        <v>5989.77</v>
      </c>
      <c r="M297" s="4">
        <f t="shared" si="4"/>
        <v>0.30635075695581016</v>
      </c>
    </row>
    <row r="298" spans="1:13" x14ac:dyDescent="0.35">
      <c r="A298">
        <v>2296</v>
      </c>
      <c r="B298" s="2">
        <v>45301</v>
      </c>
      <c r="C298" t="s">
        <v>12</v>
      </c>
      <c r="D298" t="s">
        <v>18</v>
      </c>
      <c r="E298" t="s">
        <v>19</v>
      </c>
      <c r="F298" t="s">
        <v>15</v>
      </c>
      <c r="G298" t="s">
        <v>16</v>
      </c>
      <c r="H298">
        <v>3</v>
      </c>
      <c r="I298" s="5">
        <v>39754</v>
      </c>
      <c r="J298" s="5">
        <v>119262</v>
      </c>
      <c r="K298" s="5">
        <v>88272.41</v>
      </c>
      <c r="L298" s="5">
        <v>30989.59</v>
      </c>
      <c r="M298" s="4">
        <f t="shared" si="4"/>
        <v>0.25984462779426809</v>
      </c>
    </row>
    <row r="299" spans="1:13" x14ac:dyDescent="0.35">
      <c r="A299">
        <v>2297</v>
      </c>
      <c r="B299" s="2">
        <v>45657</v>
      </c>
      <c r="C299" t="s">
        <v>26</v>
      </c>
      <c r="D299" t="s">
        <v>32</v>
      </c>
      <c r="E299" t="s">
        <v>33</v>
      </c>
      <c r="F299" t="s">
        <v>24</v>
      </c>
      <c r="G299" t="s">
        <v>35</v>
      </c>
      <c r="H299">
        <v>2</v>
      </c>
      <c r="I299" s="5">
        <v>19048</v>
      </c>
      <c r="J299" s="5">
        <v>38096</v>
      </c>
      <c r="K299" s="5">
        <v>26995.919999999998</v>
      </c>
      <c r="L299" s="5">
        <v>11100.08</v>
      </c>
      <c r="M299" s="4">
        <f t="shared" si="4"/>
        <v>0.29137127257454853</v>
      </c>
    </row>
    <row r="300" spans="1:13" x14ac:dyDescent="0.35">
      <c r="A300">
        <v>2298</v>
      </c>
      <c r="B300" s="2">
        <v>45527</v>
      </c>
      <c r="C300" t="s">
        <v>34</v>
      </c>
      <c r="D300" t="s">
        <v>41</v>
      </c>
      <c r="E300" t="s">
        <v>42</v>
      </c>
      <c r="F300" t="s">
        <v>24</v>
      </c>
      <c r="G300" t="s">
        <v>16</v>
      </c>
      <c r="H300">
        <v>3</v>
      </c>
      <c r="I300" s="5">
        <v>14902</v>
      </c>
      <c r="J300" s="5">
        <v>44706</v>
      </c>
      <c r="K300" s="5">
        <v>35471.620000000003</v>
      </c>
      <c r="L300" s="5">
        <v>9234.3799999999992</v>
      </c>
      <c r="M300" s="4">
        <f t="shared" si="4"/>
        <v>0.20655795642643043</v>
      </c>
    </row>
    <row r="301" spans="1:13" x14ac:dyDescent="0.35">
      <c r="A301">
        <v>2299</v>
      </c>
      <c r="B301" s="2">
        <v>45625</v>
      </c>
      <c r="C301" t="s">
        <v>26</v>
      </c>
      <c r="D301" t="s">
        <v>18</v>
      </c>
      <c r="E301" t="s">
        <v>43</v>
      </c>
      <c r="F301" t="s">
        <v>24</v>
      </c>
      <c r="G301" t="s">
        <v>25</v>
      </c>
      <c r="H301">
        <v>5</v>
      </c>
      <c r="I301" s="5">
        <v>18443</v>
      </c>
      <c r="J301" s="5">
        <v>92215</v>
      </c>
      <c r="K301" s="5">
        <v>67113.13</v>
      </c>
      <c r="L301" s="5">
        <v>25101.87</v>
      </c>
      <c r="M301" s="4">
        <f t="shared" si="4"/>
        <v>0.27221026947893506</v>
      </c>
    </row>
    <row r="302" spans="1:13" x14ac:dyDescent="0.35">
      <c r="A302">
        <v>2300</v>
      </c>
      <c r="B302" s="2">
        <v>45376</v>
      </c>
      <c r="C302" t="s">
        <v>34</v>
      </c>
      <c r="D302" t="s">
        <v>13</v>
      </c>
      <c r="E302" t="s">
        <v>39</v>
      </c>
      <c r="F302" t="s">
        <v>24</v>
      </c>
      <c r="G302" t="s">
        <v>20</v>
      </c>
      <c r="H302">
        <v>4</v>
      </c>
      <c r="I302" s="5">
        <v>15835</v>
      </c>
      <c r="J302" s="5">
        <v>63340</v>
      </c>
      <c r="K302" s="5">
        <v>45177.63</v>
      </c>
      <c r="L302" s="5">
        <v>18162.37</v>
      </c>
      <c r="M302" s="4">
        <f t="shared" si="4"/>
        <v>0.28674407957057152</v>
      </c>
    </row>
    <row r="303" spans="1:13" x14ac:dyDescent="0.35">
      <c r="A303">
        <v>2301</v>
      </c>
      <c r="B303" s="2">
        <v>45532</v>
      </c>
      <c r="C303" t="s">
        <v>34</v>
      </c>
      <c r="D303" t="s">
        <v>27</v>
      </c>
      <c r="E303" t="s">
        <v>28</v>
      </c>
      <c r="F303" t="s">
        <v>29</v>
      </c>
      <c r="G303" t="s">
        <v>16</v>
      </c>
      <c r="H303">
        <v>2</v>
      </c>
      <c r="I303" s="5">
        <v>26993</v>
      </c>
      <c r="J303" s="5">
        <v>53986</v>
      </c>
      <c r="K303" s="5">
        <v>45524.83</v>
      </c>
      <c r="L303" s="5">
        <v>8461.17</v>
      </c>
      <c r="M303" s="4">
        <f t="shared" si="4"/>
        <v>0.15672896676916237</v>
      </c>
    </row>
    <row r="304" spans="1:13" x14ac:dyDescent="0.35">
      <c r="A304">
        <v>2302</v>
      </c>
      <c r="B304" s="2">
        <v>45375</v>
      </c>
      <c r="C304" t="s">
        <v>17</v>
      </c>
      <c r="D304" t="s">
        <v>18</v>
      </c>
      <c r="E304" t="s">
        <v>19</v>
      </c>
      <c r="F304" t="s">
        <v>15</v>
      </c>
      <c r="G304" t="s">
        <v>38</v>
      </c>
      <c r="H304">
        <v>4</v>
      </c>
      <c r="I304" s="5">
        <v>70516</v>
      </c>
      <c r="J304" s="5">
        <v>282064</v>
      </c>
      <c r="K304" s="5">
        <v>205102.13</v>
      </c>
      <c r="L304" s="5">
        <v>76961.87</v>
      </c>
      <c r="M304" s="4">
        <f t="shared" si="4"/>
        <v>0.27285250865051902</v>
      </c>
    </row>
    <row r="305" spans="1:13" x14ac:dyDescent="0.35">
      <c r="A305">
        <v>2303</v>
      </c>
      <c r="B305" s="2">
        <v>45462</v>
      </c>
      <c r="C305" t="s">
        <v>17</v>
      </c>
      <c r="D305" t="s">
        <v>22</v>
      </c>
      <c r="E305" t="s">
        <v>37</v>
      </c>
      <c r="F305" t="s">
        <v>24</v>
      </c>
      <c r="G305" t="s">
        <v>20</v>
      </c>
      <c r="H305">
        <v>3</v>
      </c>
      <c r="I305" s="5">
        <v>44687</v>
      </c>
      <c r="J305" s="5">
        <v>134061</v>
      </c>
      <c r="K305" s="5">
        <v>88765.48</v>
      </c>
      <c r="L305" s="5">
        <v>45295.519999999997</v>
      </c>
      <c r="M305" s="4">
        <f t="shared" si="4"/>
        <v>0.33787246104385316</v>
      </c>
    </row>
    <row r="306" spans="1:13" x14ac:dyDescent="0.35">
      <c r="A306">
        <v>2304</v>
      </c>
      <c r="B306" s="2">
        <v>45299</v>
      </c>
      <c r="C306" t="s">
        <v>17</v>
      </c>
      <c r="D306" t="s">
        <v>27</v>
      </c>
      <c r="E306" t="s">
        <v>28</v>
      </c>
      <c r="F306" t="s">
        <v>29</v>
      </c>
      <c r="G306" t="s">
        <v>20</v>
      </c>
      <c r="H306">
        <v>2</v>
      </c>
      <c r="I306" s="5">
        <v>48448</v>
      </c>
      <c r="J306" s="5">
        <v>96896</v>
      </c>
      <c r="K306" s="5">
        <v>74312.800000000003</v>
      </c>
      <c r="L306" s="5">
        <v>22583.200000000001</v>
      </c>
      <c r="M306" s="4">
        <f t="shared" si="4"/>
        <v>0.23306638044914135</v>
      </c>
    </row>
    <row r="307" spans="1:13" x14ac:dyDescent="0.35">
      <c r="A307">
        <v>2305</v>
      </c>
      <c r="B307" s="2">
        <v>45642</v>
      </c>
      <c r="C307" t="s">
        <v>21</v>
      </c>
      <c r="D307" t="s">
        <v>32</v>
      </c>
      <c r="E307" t="s">
        <v>40</v>
      </c>
      <c r="F307" t="s">
        <v>15</v>
      </c>
      <c r="G307" t="s">
        <v>16</v>
      </c>
      <c r="H307">
        <v>4</v>
      </c>
      <c r="I307" s="5">
        <v>38717</v>
      </c>
      <c r="J307" s="5">
        <v>154868</v>
      </c>
      <c r="K307" s="5">
        <v>125674.81</v>
      </c>
      <c r="L307" s="5">
        <v>29193.19</v>
      </c>
      <c r="M307" s="4">
        <f t="shared" si="4"/>
        <v>0.18850369346798562</v>
      </c>
    </row>
    <row r="308" spans="1:13" x14ac:dyDescent="0.35">
      <c r="A308">
        <v>2306</v>
      </c>
      <c r="B308" s="2">
        <v>45456</v>
      </c>
      <c r="C308" t="s">
        <v>34</v>
      </c>
      <c r="D308" t="s">
        <v>13</v>
      </c>
      <c r="E308" t="s">
        <v>39</v>
      </c>
      <c r="F308" t="s">
        <v>24</v>
      </c>
      <c r="G308" t="s">
        <v>25</v>
      </c>
      <c r="H308">
        <v>3</v>
      </c>
      <c r="I308" s="5">
        <v>43130</v>
      </c>
      <c r="J308" s="5">
        <v>129390</v>
      </c>
      <c r="K308" s="5">
        <v>95036.96</v>
      </c>
      <c r="L308" s="5">
        <v>34353.040000000001</v>
      </c>
      <c r="M308" s="4">
        <f t="shared" si="4"/>
        <v>0.26549996135713733</v>
      </c>
    </row>
    <row r="309" spans="1:13" x14ac:dyDescent="0.35">
      <c r="A309">
        <v>2307</v>
      </c>
      <c r="B309" s="2">
        <v>45439</v>
      </c>
      <c r="C309" t="s">
        <v>36</v>
      </c>
      <c r="D309" t="s">
        <v>27</v>
      </c>
      <c r="E309" t="s">
        <v>28</v>
      </c>
      <c r="F309" t="s">
        <v>29</v>
      </c>
      <c r="G309" t="s">
        <v>25</v>
      </c>
      <c r="H309">
        <v>2</v>
      </c>
      <c r="I309" s="5">
        <v>27267</v>
      </c>
      <c r="J309" s="5">
        <v>54534</v>
      </c>
      <c r="K309" s="5">
        <v>38433.910000000003</v>
      </c>
      <c r="L309" s="5">
        <v>16100.09</v>
      </c>
      <c r="M309" s="4">
        <f t="shared" si="4"/>
        <v>0.29523031503282354</v>
      </c>
    </row>
    <row r="310" spans="1:13" x14ac:dyDescent="0.35">
      <c r="A310">
        <v>2308</v>
      </c>
      <c r="B310" s="2">
        <v>45469</v>
      </c>
      <c r="C310" t="s">
        <v>34</v>
      </c>
      <c r="D310" t="s">
        <v>41</v>
      </c>
      <c r="E310" t="s">
        <v>42</v>
      </c>
      <c r="F310" t="s">
        <v>24</v>
      </c>
      <c r="G310" t="s">
        <v>16</v>
      </c>
      <c r="H310">
        <v>5</v>
      </c>
      <c r="I310" s="5">
        <v>19149</v>
      </c>
      <c r="J310" s="5">
        <v>95745</v>
      </c>
      <c r="K310" s="5">
        <v>72574.350000000006</v>
      </c>
      <c r="L310" s="5">
        <v>23170.65</v>
      </c>
      <c r="M310" s="4">
        <f t="shared" si="4"/>
        <v>0.24200375998746673</v>
      </c>
    </row>
    <row r="311" spans="1:13" x14ac:dyDescent="0.35">
      <c r="A311">
        <v>2309</v>
      </c>
      <c r="B311" s="2">
        <v>45394</v>
      </c>
      <c r="C311" t="s">
        <v>36</v>
      </c>
      <c r="D311" t="s">
        <v>22</v>
      </c>
      <c r="E311" t="s">
        <v>37</v>
      </c>
      <c r="F311" t="s">
        <v>24</v>
      </c>
      <c r="G311" t="s">
        <v>16</v>
      </c>
      <c r="H311">
        <v>2</v>
      </c>
      <c r="I311" s="5">
        <v>48562</v>
      </c>
      <c r="J311" s="5">
        <v>97124</v>
      </c>
      <c r="K311" s="5">
        <v>74919.48</v>
      </c>
      <c r="L311" s="5">
        <v>22204.52</v>
      </c>
      <c r="M311" s="4">
        <f t="shared" si="4"/>
        <v>0.22862032041513941</v>
      </c>
    </row>
    <row r="312" spans="1:13" x14ac:dyDescent="0.35">
      <c r="A312">
        <v>2310</v>
      </c>
      <c r="B312" s="2">
        <v>45397</v>
      </c>
      <c r="C312" t="s">
        <v>21</v>
      </c>
      <c r="D312" t="s">
        <v>22</v>
      </c>
      <c r="E312" t="s">
        <v>23</v>
      </c>
      <c r="F312" t="s">
        <v>24</v>
      </c>
      <c r="G312" t="s">
        <v>38</v>
      </c>
      <c r="H312">
        <v>3</v>
      </c>
      <c r="I312" s="5">
        <v>9228</v>
      </c>
      <c r="J312" s="5">
        <v>27684</v>
      </c>
      <c r="K312" s="5">
        <v>22377.89</v>
      </c>
      <c r="L312" s="5">
        <v>5306.11</v>
      </c>
      <c r="M312" s="4">
        <f t="shared" si="4"/>
        <v>0.19166702788614362</v>
      </c>
    </row>
    <row r="313" spans="1:13" x14ac:dyDescent="0.35">
      <c r="A313">
        <v>2311</v>
      </c>
      <c r="B313" s="2">
        <v>45566</v>
      </c>
      <c r="C313" t="s">
        <v>31</v>
      </c>
      <c r="D313" t="s">
        <v>22</v>
      </c>
      <c r="E313" t="s">
        <v>37</v>
      </c>
      <c r="F313" t="s">
        <v>24</v>
      </c>
      <c r="G313" t="s">
        <v>25</v>
      </c>
      <c r="H313">
        <v>3</v>
      </c>
      <c r="I313" s="5">
        <v>16209</v>
      </c>
      <c r="J313" s="5">
        <v>48627</v>
      </c>
      <c r="K313" s="5">
        <v>33872.269999999997</v>
      </c>
      <c r="L313" s="5">
        <v>14754.73</v>
      </c>
      <c r="M313" s="4">
        <f t="shared" si="4"/>
        <v>0.30342669710243281</v>
      </c>
    </row>
    <row r="314" spans="1:13" x14ac:dyDescent="0.35">
      <c r="A314">
        <v>2312</v>
      </c>
      <c r="B314" s="2">
        <v>45559</v>
      </c>
      <c r="C314" t="s">
        <v>31</v>
      </c>
      <c r="D314" t="s">
        <v>27</v>
      </c>
      <c r="E314" t="s">
        <v>28</v>
      </c>
      <c r="F314" t="s">
        <v>29</v>
      </c>
      <c r="G314" t="s">
        <v>35</v>
      </c>
      <c r="H314">
        <v>3</v>
      </c>
      <c r="I314" s="5">
        <v>70467</v>
      </c>
      <c r="J314" s="5">
        <v>211401</v>
      </c>
      <c r="K314" s="5">
        <v>158811.56</v>
      </c>
      <c r="L314" s="5">
        <v>52589.440000000002</v>
      </c>
      <c r="M314" s="4">
        <f t="shared" si="4"/>
        <v>0.24876627830521145</v>
      </c>
    </row>
    <row r="315" spans="1:13" x14ac:dyDescent="0.35">
      <c r="A315">
        <v>2313</v>
      </c>
      <c r="B315" s="2">
        <v>45390</v>
      </c>
      <c r="C315" t="s">
        <v>12</v>
      </c>
      <c r="D315" t="s">
        <v>32</v>
      </c>
      <c r="E315" t="s">
        <v>40</v>
      </c>
      <c r="F315" t="s">
        <v>15</v>
      </c>
      <c r="G315" t="s">
        <v>30</v>
      </c>
      <c r="H315">
        <v>1</v>
      </c>
      <c r="I315" s="5">
        <v>31683</v>
      </c>
      <c r="J315" s="5">
        <v>31683</v>
      </c>
      <c r="K315" s="5">
        <v>25700.39</v>
      </c>
      <c r="L315" s="5">
        <v>5982.61</v>
      </c>
      <c r="M315" s="4">
        <f t="shared" si="4"/>
        <v>0.18882713126913486</v>
      </c>
    </row>
    <row r="316" spans="1:13" x14ac:dyDescent="0.35">
      <c r="A316">
        <v>2314</v>
      </c>
      <c r="B316" s="2">
        <v>45580</v>
      </c>
      <c r="C316" t="s">
        <v>17</v>
      </c>
      <c r="D316" t="s">
        <v>13</v>
      </c>
      <c r="E316" t="s">
        <v>39</v>
      </c>
      <c r="F316" t="s">
        <v>24</v>
      </c>
      <c r="G316" t="s">
        <v>20</v>
      </c>
      <c r="H316">
        <v>3</v>
      </c>
      <c r="I316" s="5">
        <v>60755</v>
      </c>
      <c r="J316" s="5">
        <v>182265</v>
      </c>
      <c r="K316" s="5">
        <v>146892.41</v>
      </c>
      <c r="L316" s="5">
        <v>35372.589999999997</v>
      </c>
      <c r="M316" s="4">
        <f t="shared" si="4"/>
        <v>0.19407231229254107</v>
      </c>
    </row>
    <row r="317" spans="1:13" x14ac:dyDescent="0.35">
      <c r="A317">
        <v>2315</v>
      </c>
      <c r="B317" s="2">
        <v>45544</v>
      </c>
      <c r="C317" t="s">
        <v>12</v>
      </c>
      <c r="D317" t="s">
        <v>32</v>
      </c>
      <c r="E317" t="s">
        <v>33</v>
      </c>
      <c r="F317" t="s">
        <v>24</v>
      </c>
      <c r="G317" t="s">
        <v>25</v>
      </c>
      <c r="H317">
        <v>3</v>
      </c>
      <c r="I317" s="5">
        <v>21909</v>
      </c>
      <c r="J317" s="5">
        <v>65727</v>
      </c>
      <c r="K317" s="5">
        <v>47608.28</v>
      </c>
      <c r="L317" s="5">
        <v>18118.72</v>
      </c>
      <c r="M317" s="4">
        <f t="shared" si="4"/>
        <v>0.27566631673437098</v>
      </c>
    </row>
    <row r="318" spans="1:13" x14ac:dyDescent="0.35">
      <c r="A318">
        <v>2316</v>
      </c>
      <c r="B318" s="2">
        <v>45371</v>
      </c>
      <c r="C318" t="s">
        <v>36</v>
      </c>
      <c r="D318" t="s">
        <v>22</v>
      </c>
      <c r="E318" t="s">
        <v>37</v>
      </c>
      <c r="F318" t="s">
        <v>24</v>
      </c>
      <c r="G318" t="s">
        <v>25</v>
      </c>
      <c r="H318">
        <v>3</v>
      </c>
      <c r="I318" s="5">
        <v>11979</v>
      </c>
      <c r="J318" s="5">
        <v>35937</v>
      </c>
      <c r="K318" s="5">
        <v>25838.14</v>
      </c>
      <c r="L318" s="5">
        <v>10098.86</v>
      </c>
      <c r="M318" s="4">
        <f t="shared" si="4"/>
        <v>0.28101566630492253</v>
      </c>
    </row>
    <row r="319" spans="1:13" x14ac:dyDescent="0.35">
      <c r="A319">
        <v>2317</v>
      </c>
      <c r="B319" s="2">
        <v>45340</v>
      </c>
      <c r="C319" t="s">
        <v>31</v>
      </c>
      <c r="D319" t="s">
        <v>41</v>
      </c>
      <c r="E319" t="s">
        <v>42</v>
      </c>
      <c r="F319" t="s">
        <v>24</v>
      </c>
      <c r="G319" t="s">
        <v>25</v>
      </c>
      <c r="H319">
        <v>1</v>
      </c>
      <c r="I319" s="5">
        <v>34823</v>
      </c>
      <c r="J319" s="5">
        <v>34823</v>
      </c>
      <c r="K319" s="5">
        <v>29532.720000000001</v>
      </c>
      <c r="L319" s="5">
        <v>5290.28</v>
      </c>
      <c r="M319" s="4">
        <f t="shared" si="4"/>
        <v>0.15191913390575193</v>
      </c>
    </row>
    <row r="320" spans="1:13" x14ac:dyDescent="0.35">
      <c r="A320">
        <v>2318</v>
      </c>
      <c r="B320" s="2">
        <v>45582</v>
      </c>
      <c r="C320" t="s">
        <v>21</v>
      </c>
      <c r="D320" t="s">
        <v>27</v>
      </c>
      <c r="E320" t="s">
        <v>28</v>
      </c>
      <c r="F320" t="s">
        <v>29</v>
      </c>
      <c r="G320" t="s">
        <v>20</v>
      </c>
      <c r="H320">
        <v>2</v>
      </c>
      <c r="I320" s="5">
        <v>42288</v>
      </c>
      <c r="J320" s="5">
        <v>84576</v>
      </c>
      <c r="K320" s="5">
        <v>70629.34</v>
      </c>
      <c r="L320" s="5">
        <v>13946.66</v>
      </c>
      <c r="M320" s="4">
        <f t="shared" si="4"/>
        <v>0.16490091751797201</v>
      </c>
    </row>
    <row r="321" spans="1:13" x14ac:dyDescent="0.35">
      <c r="A321">
        <v>2319</v>
      </c>
      <c r="B321" s="2">
        <v>45520</v>
      </c>
      <c r="C321" t="s">
        <v>21</v>
      </c>
      <c r="D321" t="s">
        <v>13</v>
      </c>
      <c r="E321" t="s">
        <v>39</v>
      </c>
      <c r="F321" t="s">
        <v>24</v>
      </c>
      <c r="G321" t="s">
        <v>25</v>
      </c>
      <c r="H321">
        <v>5</v>
      </c>
      <c r="I321" s="5">
        <v>25157</v>
      </c>
      <c r="J321" s="5">
        <v>125785</v>
      </c>
      <c r="K321" s="5">
        <v>88150.02</v>
      </c>
      <c r="L321" s="5">
        <v>37634.980000000003</v>
      </c>
      <c r="M321" s="4">
        <f t="shared" si="4"/>
        <v>0.29920085860794216</v>
      </c>
    </row>
    <row r="322" spans="1:13" x14ac:dyDescent="0.35">
      <c r="A322">
        <v>2320</v>
      </c>
      <c r="B322" s="2">
        <v>45384</v>
      </c>
      <c r="C322" t="s">
        <v>17</v>
      </c>
      <c r="D322" t="s">
        <v>18</v>
      </c>
      <c r="E322" t="s">
        <v>43</v>
      </c>
      <c r="F322" t="s">
        <v>24</v>
      </c>
      <c r="G322" t="s">
        <v>30</v>
      </c>
      <c r="H322">
        <v>4</v>
      </c>
      <c r="I322" s="5">
        <v>18965</v>
      </c>
      <c r="J322" s="5">
        <v>75860</v>
      </c>
      <c r="K322" s="5">
        <v>49726.52</v>
      </c>
      <c r="L322" s="5">
        <v>26133.48</v>
      </c>
      <c r="M322" s="4">
        <f t="shared" si="4"/>
        <v>0.3444961771684682</v>
      </c>
    </row>
    <row r="323" spans="1:13" x14ac:dyDescent="0.35">
      <c r="A323">
        <v>2321</v>
      </c>
      <c r="B323" s="2">
        <v>45653</v>
      </c>
      <c r="C323" t="s">
        <v>31</v>
      </c>
      <c r="D323" t="s">
        <v>18</v>
      </c>
      <c r="E323" t="s">
        <v>43</v>
      </c>
      <c r="F323" t="s">
        <v>24</v>
      </c>
      <c r="G323" t="s">
        <v>35</v>
      </c>
      <c r="H323">
        <v>4</v>
      </c>
      <c r="I323" s="5">
        <v>71810</v>
      </c>
      <c r="J323" s="5">
        <v>287240</v>
      </c>
      <c r="K323" s="5">
        <v>241121.04</v>
      </c>
      <c r="L323" s="5">
        <v>46118.96</v>
      </c>
      <c r="M323" s="4">
        <f t="shared" ref="M323:M386" si="5">L323/J323</f>
        <v>0.16055897507310959</v>
      </c>
    </row>
    <row r="324" spans="1:13" x14ac:dyDescent="0.35">
      <c r="A324">
        <v>2322</v>
      </c>
      <c r="B324" s="2">
        <v>45619</v>
      </c>
      <c r="C324" t="s">
        <v>36</v>
      </c>
      <c r="D324" t="s">
        <v>18</v>
      </c>
      <c r="E324" t="s">
        <v>19</v>
      </c>
      <c r="F324" t="s">
        <v>15</v>
      </c>
      <c r="G324" t="s">
        <v>20</v>
      </c>
      <c r="H324">
        <v>4</v>
      </c>
      <c r="I324" s="5">
        <v>23717</v>
      </c>
      <c r="J324" s="5">
        <v>94868</v>
      </c>
      <c r="K324" s="5">
        <v>75066.7</v>
      </c>
      <c r="L324" s="5">
        <v>19801.3</v>
      </c>
      <c r="M324" s="4">
        <f t="shared" si="5"/>
        <v>0.20872475439558122</v>
      </c>
    </row>
    <row r="325" spans="1:13" x14ac:dyDescent="0.35">
      <c r="A325">
        <v>2323</v>
      </c>
      <c r="B325" s="2">
        <v>45581</v>
      </c>
      <c r="C325" t="s">
        <v>17</v>
      </c>
      <c r="D325" t="s">
        <v>18</v>
      </c>
      <c r="E325" t="s">
        <v>19</v>
      </c>
      <c r="F325" t="s">
        <v>15</v>
      </c>
      <c r="G325" t="s">
        <v>35</v>
      </c>
      <c r="H325">
        <v>2</v>
      </c>
      <c r="I325" s="5">
        <v>19768</v>
      </c>
      <c r="J325" s="5">
        <v>39536</v>
      </c>
      <c r="K325" s="5">
        <v>33261</v>
      </c>
      <c r="L325" s="5">
        <v>6275</v>
      </c>
      <c r="M325" s="4">
        <f t="shared" si="5"/>
        <v>0.15871610683933629</v>
      </c>
    </row>
    <row r="326" spans="1:13" x14ac:dyDescent="0.35">
      <c r="A326">
        <v>2324</v>
      </c>
      <c r="B326" s="2">
        <v>45521</v>
      </c>
      <c r="C326" t="s">
        <v>21</v>
      </c>
      <c r="D326" t="s">
        <v>41</v>
      </c>
      <c r="E326" t="s">
        <v>42</v>
      </c>
      <c r="F326" t="s">
        <v>24</v>
      </c>
      <c r="G326" t="s">
        <v>30</v>
      </c>
      <c r="H326">
        <v>2</v>
      </c>
      <c r="I326" s="5">
        <v>56616</v>
      </c>
      <c r="J326" s="5">
        <v>113232</v>
      </c>
      <c r="K326" s="5">
        <v>95471.98</v>
      </c>
      <c r="L326" s="5">
        <v>17760.02</v>
      </c>
      <c r="M326" s="4">
        <f t="shared" si="5"/>
        <v>0.15684629786632753</v>
      </c>
    </row>
    <row r="327" spans="1:13" x14ac:dyDescent="0.35">
      <c r="A327">
        <v>2325</v>
      </c>
      <c r="B327" s="2">
        <v>45423</v>
      </c>
      <c r="C327" t="s">
        <v>12</v>
      </c>
      <c r="D327" t="s">
        <v>32</v>
      </c>
      <c r="E327" t="s">
        <v>40</v>
      </c>
      <c r="F327" t="s">
        <v>15</v>
      </c>
      <c r="G327" t="s">
        <v>25</v>
      </c>
      <c r="H327">
        <v>3</v>
      </c>
      <c r="I327" s="5">
        <v>15769</v>
      </c>
      <c r="J327" s="5">
        <v>47307</v>
      </c>
      <c r="K327" s="5">
        <v>39290.870000000003</v>
      </c>
      <c r="L327" s="5">
        <v>8016.13</v>
      </c>
      <c r="M327" s="4">
        <f t="shared" si="5"/>
        <v>0.16944913014987212</v>
      </c>
    </row>
    <row r="328" spans="1:13" x14ac:dyDescent="0.35">
      <c r="A328">
        <v>2326</v>
      </c>
      <c r="B328" s="2">
        <v>45424</v>
      </c>
      <c r="C328" t="s">
        <v>36</v>
      </c>
      <c r="D328" t="s">
        <v>18</v>
      </c>
      <c r="E328" t="s">
        <v>43</v>
      </c>
      <c r="F328" t="s">
        <v>24</v>
      </c>
      <c r="G328" t="s">
        <v>25</v>
      </c>
      <c r="H328">
        <v>5</v>
      </c>
      <c r="I328" s="5">
        <v>71363</v>
      </c>
      <c r="J328" s="5">
        <v>356815</v>
      </c>
      <c r="K328" s="5">
        <v>235909.51</v>
      </c>
      <c r="L328" s="5">
        <v>120905.49</v>
      </c>
      <c r="M328" s="4">
        <f t="shared" si="5"/>
        <v>0.33884643302551742</v>
      </c>
    </row>
    <row r="329" spans="1:13" x14ac:dyDescent="0.35">
      <c r="A329">
        <v>2327</v>
      </c>
      <c r="B329" s="2">
        <v>45393</v>
      </c>
      <c r="C329" t="s">
        <v>17</v>
      </c>
      <c r="D329" t="s">
        <v>32</v>
      </c>
      <c r="E329" t="s">
        <v>33</v>
      </c>
      <c r="F329" t="s">
        <v>24</v>
      </c>
      <c r="G329" t="s">
        <v>25</v>
      </c>
      <c r="H329">
        <v>3</v>
      </c>
      <c r="I329" s="5">
        <v>65839</v>
      </c>
      <c r="J329" s="5">
        <v>197517</v>
      </c>
      <c r="K329" s="5">
        <v>158325.59</v>
      </c>
      <c r="L329" s="5">
        <v>39191.410000000003</v>
      </c>
      <c r="M329" s="4">
        <f t="shared" si="5"/>
        <v>0.19842043975961565</v>
      </c>
    </row>
    <row r="330" spans="1:13" x14ac:dyDescent="0.35">
      <c r="A330">
        <v>2328</v>
      </c>
      <c r="B330" s="2">
        <v>45482</v>
      </c>
      <c r="C330" t="s">
        <v>21</v>
      </c>
      <c r="D330" t="s">
        <v>18</v>
      </c>
      <c r="E330" t="s">
        <v>19</v>
      </c>
      <c r="F330" t="s">
        <v>15</v>
      </c>
      <c r="G330" t="s">
        <v>35</v>
      </c>
      <c r="H330">
        <v>3</v>
      </c>
      <c r="I330" s="5">
        <v>59124</v>
      </c>
      <c r="J330" s="5">
        <v>177372</v>
      </c>
      <c r="K330" s="5">
        <v>119695.72</v>
      </c>
      <c r="L330" s="5">
        <v>57676.28</v>
      </c>
      <c r="M330" s="4">
        <f t="shared" si="5"/>
        <v>0.32517127844304622</v>
      </c>
    </row>
    <row r="331" spans="1:13" x14ac:dyDescent="0.35">
      <c r="A331">
        <v>2329</v>
      </c>
      <c r="B331" s="2">
        <v>45517</v>
      </c>
      <c r="C331" t="s">
        <v>21</v>
      </c>
      <c r="D331" t="s">
        <v>22</v>
      </c>
      <c r="E331" t="s">
        <v>37</v>
      </c>
      <c r="F331" t="s">
        <v>24</v>
      </c>
      <c r="G331" t="s">
        <v>30</v>
      </c>
      <c r="H331">
        <v>2</v>
      </c>
      <c r="I331" s="5">
        <v>26762</v>
      </c>
      <c r="J331" s="5">
        <v>53524</v>
      </c>
      <c r="K331" s="5">
        <v>44577.98</v>
      </c>
      <c r="L331" s="5">
        <v>8946.02</v>
      </c>
      <c r="M331" s="4">
        <f t="shared" si="5"/>
        <v>0.16714034825498841</v>
      </c>
    </row>
    <row r="332" spans="1:13" x14ac:dyDescent="0.35">
      <c r="A332">
        <v>2330</v>
      </c>
      <c r="B332" s="2">
        <v>45391</v>
      </c>
      <c r="C332" t="s">
        <v>21</v>
      </c>
      <c r="D332" t="s">
        <v>18</v>
      </c>
      <c r="E332" t="s">
        <v>43</v>
      </c>
      <c r="F332" t="s">
        <v>24</v>
      </c>
      <c r="G332" t="s">
        <v>38</v>
      </c>
      <c r="H332">
        <v>1</v>
      </c>
      <c r="I332" s="5">
        <v>28572</v>
      </c>
      <c r="J332" s="5">
        <v>28572</v>
      </c>
      <c r="K332" s="5">
        <v>23872.93</v>
      </c>
      <c r="L332" s="5">
        <v>4699.07</v>
      </c>
      <c r="M332" s="4">
        <f t="shared" si="5"/>
        <v>0.16446416071678566</v>
      </c>
    </row>
    <row r="333" spans="1:13" x14ac:dyDescent="0.35">
      <c r="A333">
        <v>2331</v>
      </c>
      <c r="B333" s="2">
        <v>45483</v>
      </c>
      <c r="C333" t="s">
        <v>26</v>
      </c>
      <c r="D333" t="s">
        <v>32</v>
      </c>
      <c r="E333" t="s">
        <v>40</v>
      </c>
      <c r="F333" t="s">
        <v>15</v>
      </c>
      <c r="G333" t="s">
        <v>20</v>
      </c>
      <c r="H333">
        <v>2</v>
      </c>
      <c r="I333" s="5">
        <v>66621</v>
      </c>
      <c r="J333" s="5">
        <v>133242</v>
      </c>
      <c r="K333" s="5">
        <v>112135.24</v>
      </c>
      <c r="L333" s="5">
        <v>21106.76</v>
      </c>
      <c r="M333" s="4">
        <f t="shared" si="5"/>
        <v>0.15840921030906169</v>
      </c>
    </row>
    <row r="334" spans="1:13" x14ac:dyDescent="0.35">
      <c r="A334">
        <v>2332</v>
      </c>
      <c r="B334" s="2">
        <v>45613</v>
      </c>
      <c r="C334" t="s">
        <v>36</v>
      </c>
      <c r="D334" t="s">
        <v>22</v>
      </c>
      <c r="E334" t="s">
        <v>23</v>
      </c>
      <c r="F334" t="s">
        <v>24</v>
      </c>
      <c r="G334" t="s">
        <v>25</v>
      </c>
      <c r="H334">
        <v>1</v>
      </c>
      <c r="I334" s="5">
        <v>67288</v>
      </c>
      <c r="J334" s="5">
        <v>67288</v>
      </c>
      <c r="K334" s="5">
        <v>56822.18</v>
      </c>
      <c r="L334" s="5">
        <v>10465.82</v>
      </c>
      <c r="M334" s="4">
        <f t="shared" si="5"/>
        <v>0.15553768874093449</v>
      </c>
    </row>
    <row r="335" spans="1:13" x14ac:dyDescent="0.35">
      <c r="A335">
        <v>2333</v>
      </c>
      <c r="B335" s="2">
        <v>45536</v>
      </c>
      <c r="C335" t="s">
        <v>36</v>
      </c>
      <c r="D335" t="s">
        <v>13</v>
      </c>
      <c r="E335" t="s">
        <v>14</v>
      </c>
      <c r="F335" t="s">
        <v>15</v>
      </c>
      <c r="G335" t="s">
        <v>30</v>
      </c>
      <c r="H335">
        <v>1</v>
      </c>
      <c r="I335" s="5">
        <v>55976</v>
      </c>
      <c r="J335" s="5">
        <v>55976</v>
      </c>
      <c r="K335" s="5">
        <v>37982.720000000001</v>
      </c>
      <c r="L335" s="5">
        <v>17993.28</v>
      </c>
      <c r="M335" s="4">
        <f t="shared" si="5"/>
        <v>0.32144633414320423</v>
      </c>
    </row>
    <row r="336" spans="1:13" x14ac:dyDescent="0.35">
      <c r="A336">
        <v>2334</v>
      </c>
      <c r="B336" s="2">
        <v>45384</v>
      </c>
      <c r="C336" t="s">
        <v>34</v>
      </c>
      <c r="D336" t="s">
        <v>32</v>
      </c>
      <c r="E336" t="s">
        <v>40</v>
      </c>
      <c r="F336" t="s">
        <v>15</v>
      </c>
      <c r="G336" t="s">
        <v>25</v>
      </c>
      <c r="H336">
        <v>4</v>
      </c>
      <c r="I336" s="5">
        <v>26967</v>
      </c>
      <c r="J336" s="5">
        <v>107868</v>
      </c>
      <c r="K336" s="5">
        <v>79584.39</v>
      </c>
      <c r="L336" s="5">
        <v>28283.61</v>
      </c>
      <c r="M336" s="4">
        <f t="shared" si="5"/>
        <v>0.26220575147402381</v>
      </c>
    </row>
    <row r="337" spans="1:13" x14ac:dyDescent="0.35">
      <c r="A337">
        <v>2335</v>
      </c>
      <c r="B337" s="2">
        <v>45502</v>
      </c>
      <c r="C337" t="s">
        <v>17</v>
      </c>
      <c r="D337" t="s">
        <v>32</v>
      </c>
      <c r="E337" t="s">
        <v>33</v>
      </c>
      <c r="F337" t="s">
        <v>24</v>
      </c>
      <c r="G337" t="s">
        <v>16</v>
      </c>
      <c r="H337">
        <v>2</v>
      </c>
      <c r="I337" s="5">
        <v>28406</v>
      </c>
      <c r="J337" s="5">
        <v>56812</v>
      </c>
      <c r="K337" s="5">
        <v>37216.629999999997</v>
      </c>
      <c r="L337" s="5">
        <v>19595.37</v>
      </c>
      <c r="M337" s="4">
        <f t="shared" si="5"/>
        <v>0.34491603886502847</v>
      </c>
    </row>
    <row r="338" spans="1:13" x14ac:dyDescent="0.35">
      <c r="A338">
        <v>2336</v>
      </c>
      <c r="B338" s="2">
        <v>45463</v>
      </c>
      <c r="C338" t="s">
        <v>36</v>
      </c>
      <c r="D338" t="s">
        <v>27</v>
      </c>
      <c r="E338" t="s">
        <v>28</v>
      </c>
      <c r="F338" t="s">
        <v>29</v>
      </c>
      <c r="G338" t="s">
        <v>35</v>
      </c>
      <c r="H338">
        <v>2</v>
      </c>
      <c r="I338" s="5">
        <v>42166</v>
      </c>
      <c r="J338" s="5">
        <v>84332</v>
      </c>
      <c r="K338" s="5">
        <v>63097.32</v>
      </c>
      <c r="L338" s="5">
        <v>21234.68</v>
      </c>
      <c r="M338" s="4">
        <f t="shared" si="5"/>
        <v>0.25179860551154959</v>
      </c>
    </row>
    <row r="339" spans="1:13" x14ac:dyDescent="0.35">
      <c r="A339">
        <v>2337</v>
      </c>
      <c r="B339" s="2">
        <v>45350</v>
      </c>
      <c r="C339" t="s">
        <v>21</v>
      </c>
      <c r="D339" t="s">
        <v>13</v>
      </c>
      <c r="E339" t="s">
        <v>14</v>
      </c>
      <c r="F339" t="s">
        <v>15</v>
      </c>
      <c r="G339" t="s">
        <v>16</v>
      </c>
      <c r="H339">
        <v>2</v>
      </c>
      <c r="I339" s="5">
        <v>75299</v>
      </c>
      <c r="J339" s="5">
        <v>150598</v>
      </c>
      <c r="K339" s="5">
        <v>99601.09</v>
      </c>
      <c r="L339" s="5">
        <v>50996.91</v>
      </c>
      <c r="M339" s="4">
        <f t="shared" si="5"/>
        <v>0.33862939746875792</v>
      </c>
    </row>
    <row r="340" spans="1:13" x14ac:dyDescent="0.35">
      <c r="A340">
        <v>2338</v>
      </c>
      <c r="B340" s="2">
        <v>45438</v>
      </c>
      <c r="C340" t="s">
        <v>31</v>
      </c>
      <c r="D340" t="s">
        <v>32</v>
      </c>
      <c r="E340" t="s">
        <v>40</v>
      </c>
      <c r="F340" t="s">
        <v>15</v>
      </c>
      <c r="G340" t="s">
        <v>16</v>
      </c>
      <c r="H340">
        <v>1</v>
      </c>
      <c r="I340" s="5">
        <v>41789</v>
      </c>
      <c r="J340" s="5">
        <v>41789</v>
      </c>
      <c r="K340" s="5">
        <v>33471.74</v>
      </c>
      <c r="L340" s="5">
        <v>8317.26</v>
      </c>
      <c r="M340" s="4">
        <f t="shared" si="5"/>
        <v>0.19902988824810358</v>
      </c>
    </row>
    <row r="341" spans="1:13" x14ac:dyDescent="0.35">
      <c r="A341">
        <v>2339</v>
      </c>
      <c r="B341" s="2">
        <v>45414</v>
      </c>
      <c r="C341" t="s">
        <v>21</v>
      </c>
      <c r="D341" t="s">
        <v>13</v>
      </c>
      <c r="E341" t="s">
        <v>14</v>
      </c>
      <c r="F341" t="s">
        <v>15</v>
      </c>
      <c r="G341" t="s">
        <v>35</v>
      </c>
      <c r="H341">
        <v>2</v>
      </c>
      <c r="I341" s="5">
        <v>20788</v>
      </c>
      <c r="J341" s="5">
        <v>41576</v>
      </c>
      <c r="K341" s="5">
        <v>30268.54</v>
      </c>
      <c r="L341" s="5">
        <v>11307.46</v>
      </c>
      <c r="M341" s="4">
        <f t="shared" si="5"/>
        <v>0.27197084856648063</v>
      </c>
    </row>
    <row r="342" spans="1:13" x14ac:dyDescent="0.35">
      <c r="A342">
        <v>2340</v>
      </c>
      <c r="B342" s="2">
        <v>45442</v>
      </c>
      <c r="C342" t="s">
        <v>12</v>
      </c>
      <c r="D342" t="s">
        <v>22</v>
      </c>
      <c r="E342" t="s">
        <v>23</v>
      </c>
      <c r="F342" t="s">
        <v>24</v>
      </c>
      <c r="G342" t="s">
        <v>25</v>
      </c>
      <c r="H342">
        <v>2</v>
      </c>
      <c r="I342" s="5">
        <v>10100</v>
      </c>
      <c r="J342" s="5">
        <v>20200</v>
      </c>
      <c r="K342" s="5">
        <v>14916.12</v>
      </c>
      <c r="L342" s="5">
        <v>5283.88</v>
      </c>
      <c r="M342" s="4">
        <f t="shared" si="5"/>
        <v>0.2615782178217822</v>
      </c>
    </row>
    <row r="343" spans="1:13" x14ac:dyDescent="0.35">
      <c r="A343">
        <v>2341</v>
      </c>
      <c r="B343" s="2">
        <v>45363</v>
      </c>
      <c r="C343" t="s">
        <v>17</v>
      </c>
      <c r="D343" t="s">
        <v>41</v>
      </c>
      <c r="E343" t="s">
        <v>42</v>
      </c>
      <c r="F343" t="s">
        <v>24</v>
      </c>
      <c r="G343" t="s">
        <v>20</v>
      </c>
      <c r="H343">
        <v>4</v>
      </c>
      <c r="I343" s="5">
        <v>8252</v>
      </c>
      <c r="J343" s="5">
        <v>33008</v>
      </c>
      <c r="K343" s="5">
        <v>26667.59</v>
      </c>
      <c r="L343" s="5">
        <v>6340.41</v>
      </c>
      <c r="M343" s="4">
        <f t="shared" si="5"/>
        <v>0.19208706980126031</v>
      </c>
    </row>
    <row r="344" spans="1:13" x14ac:dyDescent="0.35">
      <c r="A344">
        <v>2342</v>
      </c>
      <c r="B344" s="2">
        <v>45476</v>
      </c>
      <c r="C344" t="s">
        <v>17</v>
      </c>
      <c r="D344" t="s">
        <v>41</v>
      </c>
      <c r="E344" t="s">
        <v>42</v>
      </c>
      <c r="F344" t="s">
        <v>24</v>
      </c>
      <c r="G344" t="s">
        <v>30</v>
      </c>
      <c r="H344">
        <v>4</v>
      </c>
      <c r="I344" s="5">
        <v>13314</v>
      </c>
      <c r="J344" s="5">
        <v>53256</v>
      </c>
      <c r="K344" s="5">
        <v>44330.1</v>
      </c>
      <c r="L344" s="5">
        <v>8925.9</v>
      </c>
      <c r="M344" s="4">
        <f t="shared" si="5"/>
        <v>0.16760365029292473</v>
      </c>
    </row>
    <row r="345" spans="1:13" x14ac:dyDescent="0.35">
      <c r="A345">
        <v>2343</v>
      </c>
      <c r="B345" s="2">
        <v>45384</v>
      </c>
      <c r="C345" t="s">
        <v>17</v>
      </c>
      <c r="D345" t="s">
        <v>32</v>
      </c>
      <c r="E345" t="s">
        <v>40</v>
      </c>
      <c r="F345" t="s">
        <v>15</v>
      </c>
      <c r="G345" t="s">
        <v>20</v>
      </c>
      <c r="H345">
        <v>2</v>
      </c>
      <c r="I345" s="5">
        <v>31609</v>
      </c>
      <c r="J345" s="5">
        <v>63218</v>
      </c>
      <c r="K345" s="5">
        <v>47687.27</v>
      </c>
      <c r="L345" s="5">
        <v>15530.73</v>
      </c>
      <c r="M345" s="4">
        <f t="shared" si="5"/>
        <v>0.24566942959283747</v>
      </c>
    </row>
    <row r="346" spans="1:13" x14ac:dyDescent="0.35">
      <c r="A346">
        <v>2344</v>
      </c>
      <c r="B346" s="2">
        <v>45392</v>
      </c>
      <c r="C346" t="s">
        <v>34</v>
      </c>
      <c r="D346" t="s">
        <v>32</v>
      </c>
      <c r="E346" t="s">
        <v>40</v>
      </c>
      <c r="F346" t="s">
        <v>15</v>
      </c>
      <c r="G346" t="s">
        <v>30</v>
      </c>
      <c r="H346">
        <v>5</v>
      </c>
      <c r="I346" s="5">
        <v>18389</v>
      </c>
      <c r="J346" s="5">
        <v>91945</v>
      </c>
      <c r="K346" s="5">
        <v>75008.2</v>
      </c>
      <c r="L346" s="5">
        <v>16936.8</v>
      </c>
      <c r="M346" s="4">
        <f t="shared" si="5"/>
        <v>0.18420577519169068</v>
      </c>
    </row>
    <row r="347" spans="1:13" x14ac:dyDescent="0.35">
      <c r="A347">
        <v>2345</v>
      </c>
      <c r="B347" s="2">
        <v>45432</v>
      </c>
      <c r="C347" t="s">
        <v>34</v>
      </c>
      <c r="D347" t="s">
        <v>27</v>
      </c>
      <c r="E347" t="s">
        <v>28</v>
      </c>
      <c r="F347" t="s">
        <v>29</v>
      </c>
      <c r="G347" t="s">
        <v>16</v>
      </c>
      <c r="H347">
        <v>2</v>
      </c>
      <c r="I347" s="5">
        <v>35005</v>
      </c>
      <c r="J347" s="5">
        <v>70010</v>
      </c>
      <c r="K347" s="5">
        <v>47425.35</v>
      </c>
      <c r="L347" s="5">
        <v>22584.65</v>
      </c>
      <c r="M347" s="4">
        <f t="shared" si="5"/>
        <v>0.32259177260391375</v>
      </c>
    </row>
    <row r="348" spans="1:13" x14ac:dyDescent="0.35">
      <c r="A348">
        <v>2346</v>
      </c>
      <c r="B348" s="2">
        <v>45395</v>
      </c>
      <c r="C348" t="s">
        <v>31</v>
      </c>
      <c r="D348" t="s">
        <v>32</v>
      </c>
      <c r="E348" t="s">
        <v>40</v>
      </c>
      <c r="F348" t="s">
        <v>15</v>
      </c>
      <c r="G348" t="s">
        <v>35</v>
      </c>
      <c r="H348">
        <v>1</v>
      </c>
      <c r="I348" s="5">
        <v>16610</v>
      </c>
      <c r="J348" s="5">
        <v>16610</v>
      </c>
      <c r="K348" s="5">
        <v>13096.13</v>
      </c>
      <c r="L348" s="5">
        <v>3513.87</v>
      </c>
      <c r="M348" s="4">
        <f t="shared" si="5"/>
        <v>0.21155147501505117</v>
      </c>
    </row>
    <row r="349" spans="1:13" x14ac:dyDescent="0.35">
      <c r="A349">
        <v>2347</v>
      </c>
      <c r="B349" s="2">
        <v>45320</v>
      </c>
      <c r="C349" t="s">
        <v>21</v>
      </c>
      <c r="D349" t="s">
        <v>41</v>
      </c>
      <c r="E349" t="s">
        <v>42</v>
      </c>
      <c r="F349" t="s">
        <v>24</v>
      </c>
      <c r="G349" t="s">
        <v>38</v>
      </c>
      <c r="H349">
        <v>5</v>
      </c>
      <c r="I349" s="5">
        <v>53566</v>
      </c>
      <c r="J349" s="5">
        <v>267830</v>
      </c>
      <c r="K349" s="5">
        <v>192045.86</v>
      </c>
      <c r="L349" s="5">
        <v>75784.14</v>
      </c>
      <c r="M349" s="4">
        <f t="shared" si="5"/>
        <v>0.28295612888772731</v>
      </c>
    </row>
    <row r="350" spans="1:13" x14ac:dyDescent="0.35">
      <c r="A350">
        <v>2348</v>
      </c>
      <c r="B350" s="2">
        <v>45501</v>
      </c>
      <c r="C350" t="s">
        <v>26</v>
      </c>
      <c r="D350" t="s">
        <v>22</v>
      </c>
      <c r="E350" t="s">
        <v>37</v>
      </c>
      <c r="F350" t="s">
        <v>24</v>
      </c>
      <c r="G350" t="s">
        <v>25</v>
      </c>
      <c r="H350">
        <v>4</v>
      </c>
      <c r="I350" s="5">
        <v>25469</v>
      </c>
      <c r="J350" s="5">
        <v>101876</v>
      </c>
      <c r="K350" s="5">
        <v>83986.85</v>
      </c>
      <c r="L350" s="5">
        <v>17889.150000000001</v>
      </c>
      <c r="M350" s="4">
        <f t="shared" si="5"/>
        <v>0.175597294750481</v>
      </c>
    </row>
    <row r="351" spans="1:13" x14ac:dyDescent="0.35">
      <c r="A351">
        <v>2349</v>
      </c>
      <c r="B351" s="2">
        <v>45580</v>
      </c>
      <c r="C351" t="s">
        <v>12</v>
      </c>
      <c r="D351" t="s">
        <v>13</v>
      </c>
      <c r="E351" t="s">
        <v>39</v>
      </c>
      <c r="F351" t="s">
        <v>24</v>
      </c>
      <c r="G351" t="s">
        <v>30</v>
      </c>
      <c r="H351">
        <v>3</v>
      </c>
      <c r="I351" s="5">
        <v>12806</v>
      </c>
      <c r="J351" s="5">
        <v>38418</v>
      </c>
      <c r="K351" s="5">
        <v>26227.88</v>
      </c>
      <c r="L351" s="5">
        <v>12190.12</v>
      </c>
      <c r="M351" s="4">
        <f t="shared" si="5"/>
        <v>0.31730230621063044</v>
      </c>
    </row>
    <row r="352" spans="1:13" x14ac:dyDescent="0.35">
      <c r="A352">
        <v>2350</v>
      </c>
      <c r="B352" s="2">
        <v>45294</v>
      </c>
      <c r="C352" t="s">
        <v>31</v>
      </c>
      <c r="D352" t="s">
        <v>13</v>
      </c>
      <c r="E352" t="s">
        <v>14</v>
      </c>
      <c r="F352" t="s">
        <v>15</v>
      </c>
      <c r="G352" t="s">
        <v>20</v>
      </c>
      <c r="H352">
        <v>3</v>
      </c>
      <c r="I352" s="5">
        <v>76134</v>
      </c>
      <c r="J352" s="5">
        <v>228402</v>
      </c>
      <c r="K352" s="5">
        <v>191040.86</v>
      </c>
      <c r="L352" s="5">
        <v>37361.14</v>
      </c>
      <c r="M352" s="4">
        <f t="shared" si="5"/>
        <v>0.16357623838670415</v>
      </c>
    </row>
    <row r="353" spans="1:13" x14ac:dyDescent="0.35">
      <c r="A353">
        <v>2351</v>
      </c>
      <c r="B353" s="2">
        <v>45474</v>
      </c>
      <c r="C353" t="s">
        <v>26</v>
      </c>
      <c r="D353" t="s">
        <v>41</v>
      </c>
      <c r="E353" t="s">
        <v>42</v>
      </c>
      <c r="F353" t="s">
        <v>24</v>
      </c>
      <c r="G353" t="s">
        <v>25</v>
      </c>
      <c r="H353">
        <v>2</v>
      </c>
      <c r="I353" s="5">
        <v>50071</v>
      </c>
      <c r="J353" s="5">
        <v>100142</v>
      </c>
      <c r="K353" s="5">
        <v>80696.91</v>
      </c>
      <c r="L353" s="5">
        <v>19445.09</v>
      </c>
      <c r="M353" s="4">
        <f t="shared" si="5"/>
        <v>0.19417517125681533</v>
      </c>
    </row>
    <row r="354" spans="1:13" x14ac:dyDescent="0.35">
      <c r="A354">
        <v>2352</v>
      </c>
      <c r="B354" s="2">
        <v>45441</v>
      </c>
      <c r="C354" t="s">
        <v>31</v>
      </c>
      <c r="D354" t="s">
        <v>22</v>
      </c>
      <c r="E354" t="s">
        <v>23</v>
      </c>
      <c r="F354" t="s">
        <v>24</v>
      </c>
      <c r="G354" t="s">
        <v>25</v>
      </c>
      <c r="H354">
        <v>1</v>
      </c>
      <c r="I354" s="5">
        <v>72854</v>
      </c>
      <c r="J354" s="5">
        <v>72854</v>
      </c>
      <c r="K354" s="5">
        <v>53860.07</v>
      </c>
      <c r="L354" s="5">
        <v>18993.93</v>
      </c>
      <c r="M354" s="4">
        <f t="shared" si="5"/>
        <v>0.26071224641062946</v>
      </c>
    </row>
    <row r="355" spans="1:13" x14ac:dyDescent="0.35">
      <c r="A355">
        <v>2353</v>
      </c>
      <c r="B355" s="2">
        <v>45360</v>
      </c>
      <c r="C355" t="s">
        <v>31</v>
      </c>
      <c r="D355" t="s">
        <v>18</v>
      </c>
      <c r="E355" t="s">
        <v>43</v>
      </c>
      <c r="F355" t="s">
        <v>24</v>
      </c>
      <c r="G355" t="s">
        <v>20</v>
      </c>
      <c r="H355">
        <v>1</v>
      </c>
      <c r="I355" s="5">
        <v>39920</v>
      </c>
      <c r="J355" s="5">
        <v>39920</v>
      </c>
      <c r="K355" s="5">
        <v>33671.93</v>
      </c>
      <c r="L355" s="5">
        <v>6248.07</v>
      </c>
      <c r="M355" s="4">
        <f t="shared" si="5"/>
        <v>0.15651477955911822</v>
      </c>
    </row>
    <row r="356" spans="1:13" x14ac:dyDescent="0.35">
      <c r="A356">
        <v>2354</v>
      </c>
      <c r="B356" s="2">
        <v>45377</v>
      </c>
      <c r="C356" t="s">
        <v>31</v>
      </c>
      <c r="D356" t="s">
        <v>32</v>
      </c>
      <c r="E356" t="s">
        <v>40</v>
      </c>
      <c r="F356" t="s">
        <v>15</v>
      </c>
      <c r="G356" t="s">
        <v>30</v>
      </c>
      <c r="H356">
        <v>1</v>
      </c>
      <c r="I356" s="5">
        <v>48883</v>
      </c>
      <c r="J356" s="5">
        <v>48883</v>
      </c>
      <c r="K356" s="5">
        <v>34222.58</v>
      </c>
      <c r="L356" s="5">
        <v>14660.42</v>
      </c>
      <c r="M356" s="4">
        <f t="shared" si="5"/>
        <v>0.29990835259701737</v>
      </c>
    </row>
    <row r="357" spans="1:13" x14ac:dyDescent="0.35">
      <c r="A357">
        <v>2355</v>
      </c>
      <c r="B357" s="2">
        <v>45649</v>
      </c>
      <c r="C357" t="s">
        <v>26</v>
      </c>
      <c r="D357" t="s">
        <v>18</v>
      </c>
      <c r="E357" t="s">
        <v>43</v>
      </c>
      <c r="F357" t="s">
        <v>24</v>
      </c>
      <c r="G357" t="s">
        <v>25</v>
      </c>
      <c r="H357">
        <v>2</v>
      </c>
      <c r="I357" s="5">
        <v>42264</v>
      </c>
      <c r="J357" s="5">
        <v>84528</v>
      </c>
      <c r="K357" s="5">
        <v>55242.22</v>
      </c>
      <c r="L357" s="5">
        <v>29285.78</v>
      </c>
      <c r="M357" s="4">
        <f t="shared" si="5"/>
        <v>0.3464624739731213</v>
      </c>
    </row>
    <row r="358" spans="1:13" x14ac:dyDescent="0.35">
      <c r="A358">
        <v>2356</v>
      </c>
      <c r="B358" s="2">
        <v>45529</v>
      </c>
      <c r="C358" t="s">
        <v>34</v>
      </c>
      <c r="D358" t="s">
        <v>27</v>
      </c>
      <c r="E358" t="s">
        <v>28</v>
      </c>
      <c r="F358" t="s">
        <v>29</v>
      </c>
      <c r="G358" t="s">
        <v>20</v>
      </c>
      <c r="H358">
        <v>5</v>
      </c>
      <c r="I358" s="5">
        <v>39243</v>
      </c>
      <c r="J358" s="5">
        <v>196215</v>
      </c>
      <c r="K358" s="5">
        <v>155113.66</v>
      </c>
      <c r="L358" s="5">
        <v>41101.339999999997</v>
      </c>
      <c r="M358" s="4">
        <f t="shared" si="5"/>
        <v>0.20947093749203677</v>
      </c>
    </row>
    <row r="359" spans="1:13" x14ac:dyDescent="0.35">
      <c r="A359">
        <v>2357</v>
      </c>
      <c r="B359" s="2">
        <v>45383</v>
      </c>
      <c r="C359" t="s">
        <v>17</v>
      </c>
      <c r="D359" t="s">
        <v>18</v>
      </c>
      <c r="E359" t="s">
        <v>19</v>
      </c>
      <c r="F359" t="s">
        <v>15</v>
      </c>
      <c r="G359" t="s">
        <v>25</v>
      </c>
      <c r="H359">
        <v>1</v>
      </c>
      <c r="I359" s="5">
        <v>43784</v>
      </c>
      <c r="J359" s="5">
        <v>43784</v>
      </c>
      <c r="K359" s="5">
        <v>29537.119999999999</v>
      </c>
      <c r="L359" s="5">
        <v>14246.88</v>
      </c>
      <c r="M359" s="4">
        <f t="shared" si="5"/>
        <v>0.32539009683902792</v>
      </c>
    </row>
    <row r="360" spans="1:13" x14ac:dyDescent="0.35">
      <c r="A360">
        <v>2358</v>
      </c>
      <c r="B360" s="2">
        <v>45435</v>
      </c>
      <c r="C360" t="s">
        <v>31</v>
      </c>
      <c r="D360" t="s">
        <v>22</v>
      </c>
      <c r="E360" t="s">
        <v>37</v>
      </c>
      <c r="F360" t="s">
        <v>24</v>
      </c>
      <c r="G360" t="s">
        <v>20</v>
      </c>
      <c r="H360">
        <v>1</v>
      </c>
      <c r="I360" s="5">
        <v>23995</v>
      </c>
      <c r="J360" s="5">
        <v>23995</v>
      </c>
      <c r="K360" s="5">
        <v>16180.04</v>
      </c>
      <c r="L360" s="5">
        <v>7814.96</v>
      </c>
      <c r="M360" s="4">
        <f t="shared" si="5"/>
        <v>0.32569118566367994</v>
      </c>
    </row>
    <row r="361" spans="1:13" x14ac:dyDescent="0.35">
      <c r="A361">
        <v>2359</v>
      </c>
      <c r="B361" s="2">
        <v>45408</v>
      </c>
      <c r="C361" t="s">
        <v>31</v>
      </c>
      <c r="D361" t="s">
        <v>32</v>
      </c>
      <c r="E361" t="s">
        <v>33</v>
      </c>
      <c r="F361" t="s">
        <v>24</v>
      </c>
      <c r="G361" t="s">
        <v>20</v>
      </c>
      <c r="H361">
        <v>2</v>
      </c>
      <c r="I361" s="5">
        <v>27296</v>
      </c>
      <c r="J361" s="5">
        <v>54592</v>
      </c>
      <c r="K361" s="5">
        <v>42786.76</v>
      </c>
      <c r="L361" s="5">
        <v>11805.24</v>
      </c>
      <c r="M361" s="4">
        <f t="shared" si="5"/>
        <v>0.21624487104337631</v>
      </c>
    </row>
    <row r="362" spans="1:13" x14ac:dyDescent="0.35">
      <c r="A362">
        <v>2360</v>
      </c>
      <c r="B362" s="2">
        <v>45376</v>
      </c>
      <c r="C362" t="s">
        <v>34</v>
      </c>
      <c r="D362" t="s">
        <v>22</v>
      </c>
      <c r="E362" t="s">
        <v>37</v>
      </c>
      <c r="F362" t="s">
        <v>24</v>
      </c>
      <c r="G362" t="s">
        <v>16</v>
      </c>
      <c r="H362">
        <v>1</v>
      </c>
      <c r="I362" s="5">
        <v>58953</v>
      </c>
      <c r="J362" s="5">
        <v>58953</v>
      </c>
      <c r="K362" s="5">
        <v>46500.58</v>
      </c>
      <c r="L362" s="5">
        <v>12452.42</v>
      </c>
      <c r="M362" s="4">
        <f t="shared" si="5"/>
        <v>0.21122623106542501</v>
      </c>
    </row>
    <row r="363" spans="1:13" x14ac:dyDescent="0.35">
      <c r="A363">
        <v>2361</v>
      </c>
      <c r="B363" s="2">
        <v>45561</v>
      </c>
      <c r="C363" t="s">
        <v>36</v>
      </c>
      <c r="D363" t="s">
        <v>27</v>
      </c>
      <c r="E363" t="s">
        <v>28</v>
      </c>
      <c r="F363" t="s">
        <v>29</v>
      </c>
      <c r="G363" t="s">
        <v>20</v>
      </c>
      <c r="H363">
        <v>1</v>
      </c>
      <c r="I363" s="5">
        <v>59856</v>
      </c>
      <c r="J363" s="5">
        <v>59856</v>
      </c>
      <c r="K363" s="5">
        <v>50524.35</v>
      </c>
      <c r="L363" s="5">
        <v>9331.65</v>
      </c>
      <c r="M363" s="4">
        <f t="shared" si="5"/>
        <v>0.1559016639935846</v>
      </c>
    </row>
    <row r="364" spans="1:13" x14ac:dyDescent="0.35">
      <c r="A364">
        <v>2362</v>
      </c>
      <c r="B364" s="2">
        <v>45465</v>
      </c>
      <c r="C364" t="s">
        <v>36</v>
      </c>
      <c r="D364" t="s">
        <v>18</v>
      </c>
      <c r="E364" t="s">
        <v>43</v>
      </c>
      <c r="F364" t="s">
        <v>24</v>
      </c>
      <c r="G364" t="s">
        <v>35</v>
      </c>
      <c r="H364">
        <v>4</v>
      </c>
      <c r="I364" s="5">
        <v>39506</v>
      </c>
      <c r="J364" s="5">
        <v>158024</v>
      </c>
      <c r="K364" s="5">
        <v>129218.39</v>
      </c>
      <c r="L364" s="5">
        <v>28805.61</v>
      </c>
      <c r="M364" s="4">
        <f t="shared" si="5"/>
        <v>0.18228629828380499</v>
      </c>
    </row>
    <row r="365" spans="1:13" x14ac:dyDescent="0.35">
      <c r="A365">
        <v>2363</v>
      </c>
      <c r="B365" s="2">
        <v>45456</v>
      </c>
      <c r="C365" t="s">
        <v>36</v>
      </c>
      <c r="D365" t="s">
        <v>22</v>
      </c>
      <c r="E365" t="s">
        <v>23</v>
      </c>
      <c r="F365" t="s">
        <v>24</v>
      </c>
      <c r="G365" t="s">
        <v>20</v>
      </c>
      <c r="H365">
        <v>4</v>
      </c>
      <c r="I365" s="5">
        <v>15019</v>
      </c>
      <c r="J365" s="5">
        <v>60076</v>
      </c>
      <c r="K365" s="5">
        <v>42952.9</v>
      </c>
      <c r="L365" s="5">
        <v>17123.099999999999</v>
      </c>
      <c r="M365" s="4">
        <f t="shared" si="5"/>
        <v>0.28502396963845794</v>
      </c>
    </row>
    <row r="366" spans="1:13" x14ac:dyDescent="0.35">
      <c r="A366">
        <v>2364</v>
      </c>
      <c r="B366" s="2">
        <v>45419</v>
      </c>
      <c r="C366" t="s">
        <v>34</v>
      </c>
      <c r="D366" t="s">
        <v>32</v>
      </c>
      <c r="E366" t="s">
        <v>33</v>
      </c>
      <c r="F366" t="s">
        <v>24</v>
      </c>
      <c r="G366" t="s">
        <v>35</v>
      </c>
      <c r="H366">
        <v>4</v>
      </c>
      <c r="I366" s="5">
        <v>9514</v>
      </c>
      <c r="J366" s="5">
        <v>38056</v>
      </c>
      <c r="K366" s="5">
        <v>27510.16</v>
      </c>
      <c r="L366" s="5">
        <v>10545.84</v>
      </c>
      <c r="M366" s="4">
        <f t="shared" si="5"/>
        <v>0.2771137271389531</v>
      </c>
    </row>
    <row r="367" spans="1:13" x14ac:dyDescent="0.35">
      <c r="A367">
        <v>2365</v>
      </c>
      <c r="B367" s="2">
        <v>45458</v>
      </c>
      <c r="C367" t="s">
        <v>12</v>
      </c>
      <c r="D367" t="s">
        <v>41</v>
      </c>
      <c r="E367" t="s">
        <v>42</v>
      </c>
      <c r="F367" t="s">
        <v>24</v>
      </c>
      <c r="G367" t="s">
        <v>25</v>
      </c>
      <c r="H367">
        <v>4</v>
      </c>
      <c r="I367" s="5">
        <v>34317</v>
      </c>
      <c r="J367" s="5">
        <v>137268</v>
      </c>
      <c r="K367" s="5">
        <v>103082.08</v>
      </c>
      <c r="L367" s="5">
        <v>34185.919999999998</v>
      </c>
      <c r="M367" s="4">
        <f t="shared" si="5"/>
        <v>0.2490450796981088</v>
      </c>
    </row>
    <row r="368" spans="1:13" x14ac:dyDescent="0.35">
      <c r="A368">
        <v>2366</v>
      </c>
      <c r="B368" s="2">
        <v>45507</v>
      </c>
      <c r="C368" t="s">
        <v>12</v>
      </c>
      <c r="D368" t="s">
        <v>18</v>
      </c>
      <c r="E368" t="s">
        <v>43</v>
      </c>
      <c r="F368" t="s">
        <v>24</v>
      </c>
      <c r="G368" t="s">
        <v>30</v>
      </c>
      <c r="H368">
        <v>4</v>
      </c>
      <c r="I368" s="5">
        <v>67471</v>
      </c>
      <c r="J368" s="5">
        <v>269884</v>
      </c>
      <c r="K368" s="5">
        <v>209603.33</v>
      </c>
      <c r="L368" s="5">
        <v>60280.67</v>
      </c>
      <c r="M368" s="4">
        <f t="shared" si="5"/>
        <v>0.22335770182745179</v>
      </c>
    </row>
    <row r="369" spans="1:13" x14ac:dyDescent="0.35">
      <c r="A369">
        <v>2367</v>
      </c>
      <c r="B369" s="2">
        <v>45609</v>
      </c>
      <c r="C369" t="s">
        <v>26</v>
      </c>
      <c r="D369" t="s">
        <v>18</v>
      </c>
      <c r="E369" t="s">
        <v>43</v>
      </c>
      <c r="F369" t="s">
        <v>24</v>
      </c>
      <c r="G369" t="s">
        <v>38</v>
      </c>
      <c r="H369">
        <v>3</v>
      </c>
      <c r="I369" s="5">
        <v>43839</v>
      </c>
      <c r="J369" s="5">
        <v>131517</v>
      </c>
      <c r="K369" s="5">
        <v>102011.14</v>
      </c>
      <c r="L369" s="5">
        <v>29505.86</v>
      </c>
      <c r="M369" s="4">
        <f t="shared" si="5"/>
        <v>0.22435016005535408</v>
      </c>
    </row>
    <row r="370" spans="1:13" x14ac:dyDescent="0.35">
      <c r="A370">
        <v>2368</v>
      </c>
      <c r="B370" s="2">
        <v>45420</v>
      </c>
      <c r="C370" t="s">
        <v>31</v>
      </c>
      <c r="D370" t="s">
        <v>18</v>
      </c>
      <c r="E370" t="s">
        <v>43</v>
      </c>
      <c r="F370" t="s">
        <v>24</v>
      </c>
      <c r="G370" t="s">
        <v>25</v>
      </c>
      <c r="H370">
        <v>1</v>
      </c>
      <c r="I370" s="5">
        <v>76197</v>
      </c>
      <c r="J370" s="5">
        <v>76197</v>
      </c>
      <c r="K370" s="5">
        <v>49736.33</v>
      </c>
      <c r="L370" s="5">
        <v>26460.67</v>
      </c>
      <c r="M370" s="4">
        <f t="shared" si="5"/>
        <v>0.34726655905088122</v>
      </c>
    </row>
    <row r="371" spans="1:13" x14ac:dyDescent="0.35">
      <c r="A371">
        <v>2369</v>
      </c>
      <c r="B371" s="2">
        <v>45349</v>
      </c>
      <c r="C371" t="s">
        <v>26</v>
      </c>
      <c r="D371" t="s">
        <v>32</v>
      </c>
      <c r="E371" t="s">
        <v>40</v>
      </c>
      <c r="F371" t="s">
        <v>15</v>
      </c>
      <c r="G371" t="s">
        <v>35</v>
      </c>
      <c r="H371">
        <v>3</v>
      </c>
      <c r="I371" s="5">
        <v>53554</v>
      </c>
      <c r="J371" s="5">
        <v>160662</v>
      </c>
      <c r="K371" s="5">
        <v>125236.67</v>
      </c>
      <c r="L371" s="5">
        <v>35425.33</v>
      </c>
      <c r="M371" s="4">
        <f t="shared" si="5"/>
        <v>0.22049601025755936</v>
      </c>
    </row>
    <row r="372" spans="1:13" x14ac:dyDescent="0.35">
      <c r="A372">
        <v>2370</v>
      </c>
      <c r="B372" s="2">
        <v>45555</v>
      </c>
      <c r="C372" t="s">
        <v>26</v>
      </c>
      <c r="D372" t="s">
        <v>18</v>
      </c>
      <c r="E372" t="s">
        <v>19</v>
      </c>
      <c r="F372" t="s">
        <v>15</v>
      </c>
      <c r="G372" t="s">
        <v>20</v>
      </c>
      <c r="H372">
        <v>3</v>
      </c>
      <c r="I372" s="5">
        <v>19072</v>
      </c>
      <c r="J372" s="5">
        <v>57216</v>
      </c>
      <c r="K372" s="5">
        <v>42527.71</v>
      </c>
      <c r="L372" s="5">
        <v>14688.29</v>
      </c>
      <c r="M372" s="4">
        <f t="shared" si="5"/>
        <v>0.2567164779082774</v>
      </c>
    </row>
    <row r="373" spans="1:13" x14ac:dyDescent="0.35">
      <c r="A373">
        <v>2371</v>
      </c>
      <c r="B373" s="2">
        <v>45355</v>
      </c>
      <c r="C373" t="s">
        <v>12</v>
      </c>
      <c r="D373" t="s">
        <v>41</v>
      </c>
      <c r="E373" t="s">
        <v>42</v>
      </c>
      <c r="F373" t="s">
        <v>24</v>
      </c>
      <c r="G373" t="s">
        <v>16</v>
      </c>
      <c r="H373">
        <v>5</v>
      </c>
      <c r="I373" s="5">
        <v>25218</v>
      </c>
      <c r="J373" s="5">
        <v>126090</v>
      </c>
      <c r="K373" s="5">
        <v>104281.23</v>
      </c>
      <c r="L373" s="5">
        <v>21808.77</v>
      </c>
      <c r="M373" s="4">
        <f t="shared" si="5"/>
        <v>0.17296193195336665</v>
      </c>
    </row>
    <row r="374" spans="1:13" x14ac:dyDescent="0.35">
      <c r="A374">
        <v>2372</v>
      </c>
      <c r="B374" s="2">
        <v>45432</v>
      </c>
      <c r="C374" t="s">
        <v>31</v>
      </c>
      <c r="D374" t="s">
        <v>22</v>
      </c>
      <c r="E374" t="s">
        <v>23</v>
      </c>
      <c r="F374" t="s">
        <v>24</v>
      </c>
      <c r="G374" t="s">
        <v>35</v>
      </c>
      <c r="H374">
        <v>2</v>
      </c>
      <c r="I374" s="5">
        <v>19514</v>
      </c>
      <c r="J374" s="5">
        <v>39028</v>
      </c>
      <c r="K374" s="5">
        <v>31147.49</v>
      </c>
      <c r="L374" s="5">
        <v>7880.51</v>
      </c>
      <c r="M374" s="4">
        <f t="shared" si="5"/>
        <v>0.20191939120631341</v>
      </c>
    </row>
    <row r="375" spans="1:13" x14ac:dyDescent="0.35">
      <c r="A375">
        <v>2373</v>
      </c>
      <c r="B375" s="2">
        <v>45604</v>
      </c>
      <c r="C375" t="s">
        <v>36</v>
      </c>
      <c r="D375" t="s">
        <v>13</v>
      </c>
      <c r="E375" t="s">
        <v>39</v>
      </c>
      <c r="F375" t="s">
        <v>24</v>
      </c>
      <c r="G375" t="s">
        <v>16</v>
      </c>
      <c r="H375">
        <v>5</v>
      </c>
      <c r="I375" s="5">
        <v>37047</v>
      </c>
      <c r="J375" s="5">
        <v>185235</v>
      </c>
      <c r="K375" s="5">
        <v>144496.54</v>
      </c>
      <c r="L375" s="5">
        <v>40738.46</v>
      </c>
      <c r="M375" s="4">
        <f t="shared" si="5"/>
        <v>0.21992852322725187</v>
      </c>
    </row>
    <row r="376" spans="1:13" x14ac:dyDescent="0.35">
      <c r="A376">
        <v>2374</v>
      </c>
      <c r="B376" s="2">
        <v>45479</v>
      </c>
      <c r="C376" t="s">
        <v>31</v>
      </c>
      <c r="D376" t="s">
        <v>32</v>
      </c>
      <c r="E376" t="s">
        <v>40</v>
      </c>
      <c r="F376" t="s">
        <v>15</v>
      </c>
      <c r="G376" t="s">
        <v>38</v>
      </c>
      <c r="H376">
        <v>4</v>
      </c>
      <c r="I376" s="5">
        <v>79831</v>
      </c>
      <c r="J376" s="5">
        <v>319324</v>
      </c>
      <c r="K376" s="5">
        <v>226956.42</v>
      </c>
      <c r="L376" s="5">
        <v>92367.58</v>
      </c>
      <c r="M376" s="4">
        <f t="shared" si="5"/>
        <v>0.28925974871916926</v>
      </c>
    </row>
    <row r="377" spans="1:13" x14ac:dyDescent="0.35">
      <c r="A377">
        <v>2375</v>
      </c>
      <c r="B377" s="2">
        <v>45307</v>
      </c>
      <c r="C377" t="s">
        <v>21</v>
      </c>
      <c r="D377" t="s">
        <v>22</v>
      </c>
      <c r="E377" t="s">
        <v>37</v>
      </c>
      <c r="F377" t="s">
        <v>24</v>
      </c>
      <c r="G377" t="s">
        <v>35</v>
      </c>
      <c r="H377">
        <v>2</v>
      </c>
      <c r="I377" s="5">
        <v>51734</v>
      </c>
      <c r="J377" s="5">
        <v>103468</v>
      </c>
      <c r="K377" s="5">
        <v>71839.5</v>
      </c>
      <c r="L377" s="5">
        <v>31628.5</v>
      </c>
      <c r="M377" s="4">
        <f t="shared" si="5"/>
        <v>0.30568388293965282</v>
      </c>
    </row>
    <row r="378" spans="1:13" x14ac:dyDescent="0.35">
      <c r="A378">
        <v>2376</v>
      </c>
      <c r="B378" s="2">
        <v>45591</v>
      </c>
      <c r="C378" t="s">
        <v>31</v>
      </c>
      <c r="D378" t="s">
        <v>41</v>
      </c>
      <c r="E378" t="s">
        <v>42</v>
      </c>
      <c r="F378" t="s">
        <v>24</v>
      </c>
      <c r="G378" t="s">
        <v>16</v>
      </c>
      <c r="H378">
        <v>4</v>
      </c>
      <c r="I378" s="5">
        <v>9556</v>
      </c>
      <c r="J378" s="5">
        <v>38224</v>
      </c>
      <c r="K378" s="5">
        <v>31910.86</v>
      </c>
      <c r="L378" s="5">
        <v>6313.14</v>
      </c>
      <c r="M378" s="4">
        <f t="shared" si="5"/>
        <v>0.16516167852658017</v>
      </c>
    </row>
    <row r="379" spans="1:13" x14ac:dyDescent="0.35">
      <c r="A379">
        <v>2377</v>
      </c>
      <c r="B379" s="2">
        <v>45457</v>
      </c>
      <c r="C379" t="s">
        <v>36</v>
      </c>
      <c r="D379" t="s">
        <v>32</v>
      </c>
      <c r="E379" t="s">
        <v>33</v>
      </c>
      <c r="F379" t="s">
        <v>24</v>
      </c>
      <c r="G379" t="s">
        <v>30</v>
      </c>
      <c r="H379">
        <v>5</v>
      </c>
      <c r="I379" s="5">
        <v>50661</v>
      </c>
      <c r="J379" s="5">
        <v>253305</v>
      </c>
      <c r="K379" s="5">
        <v>189543.44</v>
      </c>
      <c r="L379" s="5">
        <v>63761.56</v>
      </c>
      <c r="M379" s="4">
        <f t="shared" si="5"/>
        <v>0.25171852115039184</v>
      </c>
    </row>
    <row r="380" spans="1:13" x14ac:dyDescent="0.35">
      <c r="A380">
        <v>2378</v>
      </c>
      <c r="B380" s="2">
        <v>45321</v>
      </c>
      <c r="C380" t="s">
        <v>12</v>
      </c>
      <c r="D380" t="s">
        <v>13</v>
      </c>
      <c r="E380" t="s">
        <v>39</v>
      </c>
      <c r="F380" t="s">
        <v>24</v>
      </c>
      <c r="G380" t="s">
        <v>35</v>
      </c>
      <c r="H380">
        <v>1</v>
      </c>
      <c r="I380" s="5">
        <v>28783</v>
      </c>
      <c r="J380" s="5">
        <v>28783</v>
      </c>
      <c r="K380" s="5">
        <v>21881.58</v>
      </c>
      <c r="L380" s="5">
        <v>6901.42</v>
      </c>
      <c r="M380" s="4">
        <f t="shared" si="5"/>
        <v>0.23977417225445577</v>
      </c>
    </row>
    <row r="381" spans="1:13" x14ac:dyDescent="0.35">
      <c r="A381">
        <v>2379</v>
      </c>
      <c r="B381" s="2">
        <v>45517</v>
      </c>
      <c r="C381" t="s">
        <v>36</v>
      </c>
      <c r="D381" t="s">
        <v>27</v>
      </c>
      <c r="E381" t="s">
        <v>28</v>
      </c>
      <c r="F381" t="s">
        <v>29</v>
      </c>
      <c r="G381" t="s">
        <v>35</v>
      </c>
      <c r="H381">
        <v>1</v>
      </c>
      <c r="I381" s="5">
        <v>75763</v>
      </c>
      <c r="J381" s="5">
        <v>75763</v>
      </c>
      <c r="K381" s="5">
        <v>55123.45</v>
      </c>
      <c r="L381" s="5">
        <v>20639.55</v>
      </c>
      <c r="M381" s="4">
        <f t="shared" si="5"/>
        <v>0.27242255454509456</v>
      </c>
    </row>
    <row r="382" spans="1:13" x14ac:dyDescent="0.35">
      <c r="A382">
        <v>2380</v>
      </c>
      <c r="B382" s="2">
        <v>45347</v>
      </c>
      <c r="C382" t="s">
        <v>17</v>
      </c>
      <c r="D382" t="s">
        <v>22</v>
      </c>
      <c r="E382" t="s">
        <v>37</v>
      </c>
      <c r="F382" t="s">
        <v>24</v>
      </c>
      <c r="G382" t="s">
        <v>38</v>
      </c>
      <c r="H382">
        <v>5</v>
      </c>
      <c r="I382" s="5">
        <v>37513</v>
      </c>
      <c r="J382" s="5">
        <v>187565</v>
      </c>
      <c r="K382" s="5">
        <v>159029.10999999999</v>
      </c>
      <c r="L382" s="5">
        <v>28535.89</v>
      </c>
      <c r="M382" s="4">
        <f t="shared" si="5"/>
        <v>0.15213867192706529</v>
      </c>
    </row>
    <row r="383" spans="1:13" x14ac:dyDescent="0.35">
      <c r="A383">
        <v>2381</v>
      </c>
      <c r="B383" s="2">
        <v>45634</v>
      </c>
      <c r="C383" t="s">
        <v>21</v>
      </c>
      <c r="D383" t="s">
        <v>32</v>
      </c>
      <c r="E383" t="s">
        <v>33</v>
      </c>
      <c r="F383" t="s">
        <v>24</v>
      </c>
      <c r="G383" t="s">
        <v>35</v>
      </c>
      <c r="H383">
        <v>3</v>
      </c>
      <c r="I383" s="5">
        <v>26392</v>
      </c>
      <c r="J383" s="5">
        <v>79176</v>
      </c>
      <c r="K383" s="5">
        <v>62158.61</v>
      </c>
      <c r="L383" s="5">
        <v>17017.39</v>
      </c>
      <c r="M383" s="4">
        <f t="shared" si="5"/>
        <v>0.21493116600990197</v>
      </c>
    </row>
    <row r="384" spans="1:13" x14ac:dyDescent="0.35">
      <c r="A384">
        <v>2382</v>
      </c>
      <c r="B384" s="2">
        <v>45557</v>
      </c>
      <c r="C384" t="s">
        <v>31</v>
      </c>
      <c r="D384" t="s">
        <v>27</v>
      </c>
      <c r="E384" t="s">
        <v>28</v>
      </c>
      <c r="F384" t="s">
        <v>29</v>
      </c>
      <c r="G384" t="s">
        <v>35</v>
      </c>
      <c r="H384">
        <v>1</v>
      </c>
      <c r="I384" s="5">
        <v>70290</v>
      </c>
      <c r="J384" s="5">
        <v>70290</v>
      </c>
      <c r="K384" s="5">
        <v>49465.64</v>
      </c>
      <c r="L384" s="5">
        <v>20824.36</v>
      </c>
      <c r="M384" s="4">
        <f t="shared" si="5"/>
        <v>0.29626347986911367</v>
      </c>
    </row>
    <row r="385" spans="1:13" x14ac:dyDescent="0.35">
      <c r="A385">
        <v>2383</v>
      </c>
      <c r="B385" s="2">
        <v>45294</v>
      </c>
      <c r="C385" t="s">
        <v>21</v>
      </c>
      <c r="D385" t="s">
        <v>32</v>
      </c>
      <c r="E385" t="s">
        <v>33</v>
      </c>
      <c r="F385" t="s">
        <v>24</v>
      </c>
      <c r="G385" t="s">
        <v>25</v>
      </c>
      <c r="H385">
        <v>4</v>
      </c>
      <c r="I385" s="5">
        <v>23394</v>
      </c>
      <c r="J385" s="5">
        <v>93576</v>
      </c>
      <c r="K385" s="5">
        <v>70142.38</v>
      </c>
      <c r="L385" s="5">
        <v>23433.62</v>
      </c>
      <c r="M385" s="4">
        <f t="shared" si="5"/>
        <v>0.25042339916217832</v>
      </c>
    </row>
    <row r="386" spans="1:13" x14ac:dyDescent="0.35">
      <c r="A386">
        <v>2384</v>
      </c>
      <c r="B386" s="2">
        <v>45435</v>
      </c>
      <c r="C386" t="s">
        <v>12</v>
      </c>
      <c r="D386" t="s">
        <v>27</v>
      </c>
      <c r="E386" t="s">
        <v>28</v>
      </c>
      <c r="F386" t="s">
        <v>29</v>
      </c>
      <c r="G386" t="s">
        <v>16</v>
      </c>
      <c r="H386">
        <v>5</v>
      </c>
      <c r="I386" s="5">
        <v>22552</v>
      </c>
      <c r="J386" s="5">
        <v>112760</v>
      </c>
      <c r="K386" s="5">
        <v>81853.89</v>
      </c>
      <c r="L386" s="5">
        <v>30906.11</v>
      </c>
      <c r="M386" s="4">
        <f t="shared" si="5"/>
        <v>0.27408753103937566</v>
      </c>
    </row>
    <row r="387" spans="1:13" x14ac:dyDescent="0.35">
      <c r="A387">
        <v>2385</v>
      </c>
      <c r="B387" s="2">
        <v>45439</v>
      </c>
      <c r="C387" t="s">
        <v>34</v>
      </c>
      <c r="D387" t="s">
        <v>22</v>
      </c>
      <c r="E387" t="s">
        <v>37</v>
      </c>
      <c r="F387" t="s">
        <v>24</v>
      </c>
      <c r="G387" t="s">
        <v>16</v>
      </c>
      <c r="H387">
        <v>3</v>
      </c>
      <c r="I387" s="5">
        <v>46393</v>
      </c>
      <c r="J387" s="5">
        <v>139179</v>
      </c>
      <c r="K387" s="5">
        <v>100291.1</v>
      </c>
      <c r="L387" s="5">
        <v>38887.9</v>
      </c>
      <c r="M387" s="4">
        <f t="shared" ref="M387:M450" si="6">L387/J387</f>
        <v>0.27940924995868632</v>
      </c>
    </row>
    <row r="388" spans="1:13" x14ac:dyDescent="0.35">
      <c r="A388">
        <v>2386</v>
      </c>
      <c r="B388" s="2">
        <v>45488</v>
      </c>
      <c r="C388" t="s">
        <v>31</v>
      </c>
      <c r="D388" t="s">
        <v>41</v>
      </c>
      <c r="E388" t="s">
        <v>42</v>
      </c>
      <c r="F388" t="s">
        <v>24</v>
      </c>
      <c r="G388" t="s">
        <v>20</v>
      </c>
      <c r="H388">
        <v>3</v>
      </c>
      <c r="I388" s="5">
        <v>8886</v>
      </c>
      <c r="J388" s="5">
        <v>26658</v>
      </c>
      <c r="K388" s="5">
        <v>21524.080000000002</v>
      </c>
      <c r="L388" s="5">
        <v>5133.92</v>
      </c>
      <c r="M388" s="4">
        <f t="shared" si="6"/>
        <v>0.19258458999174732</v>
      </c>
    </row>
    <row r="389" spans="1:13" x14ac:dyDescent="0.35">
      <c r="A389">
        <v>2387</v>
      </c>
      <c r="B389" s="2">
        <v>45445</v>
      </c>
      <c r="C389" t="s">
        <v>21</v>
      </c>
      <c r="D389" t="s">
        <v>22</v>
      </c>
      <c r="E389" t="s">
        <v>37</v>
      </c>
      <c r="F389" t="s">
        <v>24</v>
      </c>
      <c r="G389" t="s">
        <v>16</v>
      </c>
      <c r="H389">
        <v>2</v>
      </c>
      <c r="I389" s="5">
        <v>78369</v>
      </c>
      <c r="J389" s="5">
        <v>156738</v>
      </c>
      <c r="K389" s="5">
        <v>111410.4</v>
      </c>
      <c r="L389" s="5">
        <v>45327.6</v>
      </c>
      <c r="M389" s="4">
        <f t="shared" si="6"/>
        <v>0.28919343107606321</v>
      </c>
    </row>
    <row r="390" spans="1:13" x14ac:dyDescent="0.35">
      <c r="A390">
        <v>2388</v>
      </c>
      <c r="B390" s="2">
        <v>45485</v>
      </c>
      <c r="C390" t="s">
        <v>21</v>
      </c>
      <c r="D390" t="s">
        <v>32</v>
      </c>
      <c r="E390" t="s">
        <v>33</v>
      </c>
      <c r="F390" t="s">
        <v>24</v>
      </c>
      <c r="G390" t="s">
        <v>20</v>
      </c>
      <c r="H390">
        <v>5</v>
      </c>
      <c r="I390" s="5">
        <v>38400</v>
      </c>
      <c r="J390" s="5">
        <v>192000</v>
      </c>
      <c r="K390" s="5">
        <v>128176.5</v>
      </c>
      <c r="L390" s="5">
        <v>63823.5</v>
      </c>
      <c r="M390" s="4">
        <f t="shared" si="6"/>
        <v>0.3324140625</v>
      </c>
    </row>
    <row r="391" spans="1:13" x14ac:dyDescent="0.35">
      <c r="A391">
        <v>2389</v>
      </c>
      <c r="B391" s="2">
        <v>45416</v>
      </c>
      <c r="C391" t="s">
        <v>17</v>
      </c>
      <c r="D391" t="s">
        <v>13</v>
      </c>
      <c r="E391" t="s">
        <v>14</v>
      </c>
      <c r="F391" t="s">
        <v>15</v>
      </c>
      <c r="G391" t="s">
        <v>20</v>
      </c>
      <c r="H391">
        <v>3</v>
      </c>
      <c r="I391" s="5">
        <v>34779</v>
      </c>
      <c r="J391" s="5">
        <v>104337</v>
      </c>
      <c r="K391" s="5">
        <v>88104.68</v>
      </c>
      <c r="L391" s="5">
        <v>16232.32</v>
      </c>
      <c r="M391" s="4">
        <f t="shared" si="6"/>
        <v>0.1555758743302951</v>
      </c>
    </row>
    <row r="392" spans="1:13" x14ac:dyDescent="0.35">
      <c r="A392">
        <v>2390</v>
      </c>
      <c r="B392" s="2">
        <v>45423</v>
      </c>
      <c r="C392" t="s">
        <v>26</v>
      </c>
      <c r="D392" t="s">
        <v>18</v>
      </c>
      <c r="E392" t="s">
        <v>43</v>
      </c>
      <c r="F392" t="s">
        <v>24</v>
      </c>
      <c r="G392" t="s">
        <v>25</v>
      </c>
      <c r="H392">
        <v>5</v>
      </c>
      <c r="I392" s="5">
        <v>73187</v>
      </c>
      <c r="J392" s="5">
        <v>365935</v>
      </c>
      <c r="K392" s="5">
        <v>259800.6</v>
      </c>
      <c r="L392" s="5">
        <v>106134.39999999999</v>
      </c>
      <c r="M392" s="4">
        <f t="shared" si="6"/>
        <v>0.29003620861628432</v>
      </c>
    </row>
    <row r="393" spans="1:13" x14ac:dyDescent="0.35">
      <c r="A393">
        <v>2391</v>
      </c>
      <c r="B393" s="2">
        <v>45567</v>
      </c>
      <c r="C393" t="s">
        <v>36</v>
      </c>
      <c r="D393" t="s">
        <v>41</v>
      </c>
      <c r="E393" t="s">
        <v>42</v>
      </c>
      <c r="F393" t="s">
        <v>24</v>
      </c>
      <c r="G393" t="s">
        <v>35</v>
      </c>
      <c r="H393">
        <v>5</v>
      </c>
      <c r="I393" s="5">
        <v>65299</v>
      </c>
      <c r="J393" s="5">
        <v>326495</v>
      </c>
      <c r="K393" s="5">
        <v>246010.58</v>
      </c>
      <c r="L393" s="5">
        <v>80484.42</v>
      </c>
      <c r="M393" s="4">
        <f t="shared" si="6"/>
        <v>0.24651042129282225</v>
      </c>
    </row>
    <row r="394" spans="1:13" x14ac:dyDescent="0.35">
      <c r="A394">
        <v>2392</v>
      </c>
      <c r="B394" s="2">
        <v>45512</v>
      </c>
      <c r="C394" t="s">
        <v>34</v>
      </c>
      <c r="D394" t="s">
        <v>41</v>
      </c>
      <c r="E394" t="s">
        <v>42</v>
      </c>
      <c r="F394" t="s">
        <v>24</v>
      </c>
      <c r="G394" t="s">
        <v>38</v>
      </c>
      <c r="H394">
        <v>4</v>
      </c>
      <c r="I394" s="5">
        <v>68849</v>
      </c>
      <c r="J394" s="5">
        <v>275396</v>
      </c>
      <c r="K394" s="5">
        <v>198709.89</v>
      </c>
      <c r="L394" s="5">
        <v>76686.11</v>
      </c>
      <c r="M394" s="4">
        <f t="shared" si="6"/>
        <v>0.27845760287004895</v>
      </c>
    </row>
    <row r="395" spans="1:13" x14ac:dyDescent="0.35">
      <c r="A395">
        <v>2393</v>
      </c>
      <c r="B395" s="2">
        <v>45523</v>
      </c>
      <c r="C395" t="s">
        <v>34</v>
      </c>
      <c r="D395" t="s">
        <v>27</v>
      </c>
      <c r="E395" t="s">
        <v>28</v>
      </c>
      <c r="F395" t="s">
        <v>29</v>
      </c>
      <c r="G395" t="s">
        <v>35</v>
      </c>
      <c r="H395">
        <v>1</v>
      </c>
      <c r="I395" s="5">
        <v>16948</v>
      </c>
      <c r="J395" s="5">
        <v>16948</v>
      </c>
      <c r="K395" s="5">
        <v>12796.58</v>
      </c>
      <c r="L395" s="5">
        <v>4151.42</v>
      </c>
      <c r="M395" s="4">
        <f t="shared" si="6"/>
        <v>0.24495043662969082</v>
      </c>
    </row>
    <row r="396" spans="1:13" x14ac:dyDescent="0.35">
      <c r="A396">
        <v>2394</v>
      </c>
      <c r="B396" s="2">
        <v>45548</v>
      </c>
      <c r="C396" t="s">
        <v>21</v>
      </c>
      <c r="D396" t="s">
        <v>18</v>
      </c>
      <c r="E396" t="s">
        <v>19</v>
      </c>
      <c r="F396" t="s">
        <v>15</v>
      </c>
      <c r="G396" t="s">
        <v>35</v>
      </c>
      <c r="H396">
        <v>4</v>
      </c>
      <c r="I396" s="5">
        <v>28213</v>
      </c>
      <c r="J396" s="5">
        <v>112852</v>
      </c>
      <c r="K396" s="5">
        <v>93212.03</v>
      </c>
      <c r="L396" s="5">
        <v>19639.97</v>
      </c>
      <c r="M396" s="4">
        <f t="shared" si="6"/>
        <v>0.17403298124977848</v>
      </c>
    </row>
    <row r="397" spans="1:13" x14ac:dyDescent="0.35">
      <c r="A397">
        <v>2395</v>
      </c>
      <c r="B397" s="2">
        <v>45517</v>
      </c>
      <c r="C397" t="s">
        <v>21</v>
      </c>
      <c r="D397" t="s">
        <v>22</v>
      </c>
      <c r="E397" t="s">
        <v>23</v>
      </c>
      <c r="F397" t="s">
        <v>24</v>
      </c>
      <c r="G397" t="s">
        <v>16</v>
      </c>
      <c r="H397">
        <v>5</v>
      </c>
      <c r="I397" s="5">
        <v>52994</v>
      </c>
      <c r="J397" s="5">
        <v>264970</v>
      </c>
      <c r="K397" s="5">
        <v>208879.99</v>
      </c>
      <c r="L397" s="5">
        <v>56090.01</v>
      </c>
      <c r="M397" s="4">
        <f t="shared" si="6"/>
        <v>0.21168437936370155</v>
      </c>
    </row>
    <row r="398" spans="1:13" x14ac:dyDescent="0.35">
      <c r="A398">
        <v>2396</v>
      </c>
      <c r="B398" s="2">
        <v>45454</v>
      </c>
      <c r="C398" t="s">
        <v>12</v>
      </c>
      <c r="D398" t="s">
        <v>18</v>
      </c>
      <c r="E398" t="s">
        <v>19</v>
      </c>
      <c r="F398" t="s">
        <v>15</v>
      </c>
      <c r="G398" t="s">
        <v>35</v>
      </c>
      <c r="H398">
        <v>3</v>
      </c>
      <c r="I398" s="5">
        <v>17841</v>
      </c>
      <c r="J398" s="5">
        <v>53523</v>
      </c>
      <c r="K398" s="5">
        <v>43632.26</v>
      </c>
      <c r="L398" s="5">
        <v>9890.74</v>
      </c>
      <c r="M398" s="4">
        <f t="shared" si="6"/>
        <v>0.18479420062403079</v>
      </c>
    </row>
    <row r="399" spans="1:13" x14ac:dyDescent="0.35">
      <c r="A399">
        <v>2397</v>
      </c>
      <c r="B399" s="2">
        <v>45627</v>
      </c>
      <c r="C399" t="s">
        <v>12</v>
      </c>
      <c r="D399" t="s">
        <v>41</v>
      </c>
      <c r="E399" t="s">
        <v>42</v>
      </c>
      <c r="F399" t="s">
        <v>24</v>
      </c>
      <c r="G399" t="s">
        <v>25</v>
      </c>
      <c r="H399">
        <v>3</v>
      </c>
      <c r="I399" s="5">
        <v>53004</v>
      </c>
      <c r="J399" s="5">
        <v>159012</v>
      </c>
      <c r="K399" s="5">
        <v>129453.41</v>
      </c>
      <c r="L399" s="5">
        <v>29558.59</v>
      </c>
      <c r="M399" s="4">
        <f t="shared" si="6"/>
        <v>0.18588905239856113</v>
      </c>
    </row>
    <row r="400" spans="1:13" x14ac:dyDescent="0.35">
      <c r="A400">
        <v>2398</v>
      </c>
      <c r="B400" s="2">
        <v>45372</v>
      </c>
      <c r="C400" t="s">
        <v>21</v>
      </c>
      <c r="D400" t="s">
        <v>41</v>
      </c>
      <c r="E400" t="s">
        <v>42</v>
      </c>
      <c r="F400" t="s">
        <v>24</v>
      </c>
      <c r="G400" t="s">
        <v>38</v>
      </c>
      <c r="H400">
        <v>5</v>
      </c>
      <c r="I400" s="5">
        <v>46001</v>
      </c>
      <c r="J400" s="5">
        <v>230005</v>
      </c>
      <c r="K400" s="5">
        <v>187047.55</v>
      </c>
      <c r="L400" s="5">
        <v>42957.45</v>
      </c>
      <c r="M400" s="4">
        <f t="shared" si="6"/>
        <v>0.18676746157692223</v>
      </c>
    </row>
    <row r="401" spans="1:13" x14ac:dyDescent="0.35">
      <c r="A401">
        <v>2399</v>
      </c>
      <c r="B401" s="2">
        <v>45503</v>
      </c>
      <c r="C401" t="s">
        <v>31</v>
      </c>
      <c r="D401" t="s">
        <v>32</v>
      </c>
      <c r="E401" t="s">
        <v>40</v>
      </c>
      <c r="F401" t="s">
        <v>15</v>
      </c>
      <c r="G401" t="s">
        <v>30</v>
      </c>
      <c r="H401">
        <v>2</v>
      </c>
      <c r="I401" s="5">
        <v>15886</v>
      </c>
      <c r="J401" s="5">
        <v>31772</v>
      </c>
      <c r="K401" s="5">
        <v>24655.7</v>
      </c>
      <c r="L401" s="5">
        <v>7116.3</v>
      </c>
      <c r="M401" s="4">
        <f t="shared" si="6"/>
        <v>0.22398023416845023</v>
      </c>
    </row>
    <row r="402" spans="1:13" x14ac:dyDescent="0.35">
      <c r="A402">
        <v>2400</v>
      </c>
      <c r="B402" s="2">
        <v>45583</v>
      </c>
      <c r="C402" t="s">
        <v>26</v>
      </c>
      <c r="D402" t="s">
        <v>27</v>
      </c>
      <c r="E402" t="s">
        <v>28</v>
      </c>
      <c r="F402" t="s">
        <v>29</v>
      </c>
      <c r="G402" t="s">
        <v>35</v>
      </c>
      <c r="H402">
        <v>1</v>
      </c>
      <c r="I402" s="5">
        <v>61925</v>
      </c>
      <c r="J402" s="5">
        <v>61925</v>
      </c>
      <c r="K402" s="5">
        <v>40384.19</v>
      </c>
      <c r="L402" s="5">
        <v>21540.81</v>
      </c>
      <c r="M402" s="4">
        <f t="shared" si="6"/>
        <v>0.34785320952765442</v>
      </c>
    </row>
    <row r="403" spans="1:13" x14ac:dyDescent="0.35">
      <c r="A403">
        <v>2401</v>
      </c>
      <c r="B403" s="2">
        <v>45645</v>
      </c>
      <c r="C403" t="s">
        <v>17</v>
      </c>
      <c r="D403" t="s">
        <v>18</v>
      </c>
      <c r="E403" t="s">
        <v>43</v>
      </c>
      <c r="F403" t="s">
        <v>24</v>
      </c>
      <c r="G403" t="s">
        <v>38</v>
      </c>
      <c r="H403">
        <v>5</v>
      </c>
      <c r="I403" s="5">
        <v>8512</v>
      </c>
      <c r="J403" s="5">
        <v>42560</v>
      </c>
      <c r="K403" s="5">
        <v>35469.78</v>
      </c>
      <c r="L403" s="5">
        <v>7090.22</v>
      </c>
      <c r="M403" s="4">
        <f t="shared" si="6"/>
        <v>0.16659351503759398</v>
      </c>
    </row>
    <row r="404" spans="1:13" x14ac:dyDescent="0.35">
      <c r="A404">
        <v>2402</v>
      </c>
      <c r="B404" s="2">
        <v>45592</v>
      </c>
      <c r="C404" t="s">
        <v>36</v>
      </c>
      <c r="D404" t="s">
        <v>22</v>
      </c>
      <c r="E404" t="s">
        <v>23</v>
      </c>
      <c r="F404" t="s">
        <v>24</v>
      </c>
      <c r="G404" t="s">
        <v>25</v>
      </c>
      <c r="H404">
        <v>1</v>
      </c>
      <c r="I404" s="5">
        <v>11870</v>
      </c>
      <c r="J404" s="5">
        <v>11870</v>
      </c>
      <c r="K404" s="5">
        <v>8182.35</v>
      </c>
      <c r="L404" s="5">
        <v>3687.65</v>
      </c>
      <c r="M404" s="4">
        <f t="shared" si="6"/>
        <v>0.31066975568660488</v>
      </c>
    </row>
    <row r="405" spans="1:13" x14ac:dyDescent="0.35">
      <c r="A405">
        <v>2403</v>
      </c>
      <c r="B405" s="2">
        <v>45582</v>
      </c>
      <c r="C405" t="s">
        <v>36</v>
      </c>
      <c r="D405" t="s">
        <v>22</v>
      </c>
      <c r="E405" t="s">
        <v>37</v>
      </c>
      <c r="F405" t="s">
        <v>24</v>
      </c>
      <c r="G405" t="s">
        <v>20</v>
      </c>
      <c r="H405">
        <v>3</v>
      </c>
      <c r="I405" s="5">
        <v>77663</v>
      </c>
      <c r="J405" s="5">
        <v>232989</v>
      </c>
      <c r="K405" s="5">
        <v>175409.77</v>
      </c>
      <c r="L405" s="5">
        <v>57579.23</v>
      </c>
      <c r="M405" s="4">
        <f t="shared" si="6"/>
        <v>0.24713282601324527</v>
      </c>
    </row>
    <row r="406" spans="1:13" x14ac:dyDescent="0.35">
      <c r="A406">
        <v>2404</v>
      </c>
      <c r="B406" s="2">
        <v>45502</v>
      </c>
      <c r="C406" t="s">
        <v>31</v>
      </c>
      <c r="D406" t="s">
        <v>32</v>
      </c>
      <c r="E406" t="s">
        <v>33</v>
      </c>
      <c r="F406" t="s">
        <v>24</v>
      </c>
      <c r="G406" t="s">
        <v>30</v>
      </c>
      <c r="H406">
        <v>5</v>
      </c>
      <c r="I406" s="5">
        <v>23925</v>
      </c>
      <c r="J406" s="5">
        <v>119625</v>
      </c>
      <c r="K406" s="5">
        <v>81233.84</v>
      </c>
      <c r="L406" s="5">
        <v>38391.160000000003</v>
      </c>
      <c r="M406" s="4">
        <f t="shared" si="6"/>
        <v>0.32092923719958205</v>
      </c>
    </row>
    <row r="407" spans="1:13" x14ac:dyDescent="0.35">
      <c r="A407">
        <v>2405</v>
      </c>
      <c r="B407" s="2">
        <v>45346</v>
      </c>
      <c r="C407" t="s">
        <v>36</v>
      </c>
      <c r="D407" t="s">
        <v>41</v>
      </c>
      <c r="E407" t="s">
        <v>42</v>
      </c>
      <c r="F407" t="s">
        <v>24</v>
      </c>
      <c r="G407" t="s">
        <v>20</v>
      </c>
      <c r="H407">
        <v>1</v>
      </c>
      <c r="I407" s="5">
        <v>21120</v>
      </c>
      <c r="J407" s="5">
        <v>21120</v>
      </c>
      <c r="K407" s="5">
        <v>14049.57</v>
      </c>
      <c r="L407" s="5">
        <v>7070.43</v>
      </c>
      <c r="M407" s="4">
        <f t="shared" si="6"/>
        <v>0.33477414772727276</v>
      </c>
    </row>
    <row r="408" spans="1:13" x14ac:dyDescent="0.35">
      <c r="A408">
        <v>2406</v>
      </c>
      <c r="B408" s="2">
        <v>45605</v>
      </c>
      <c r="C408" t="s">
        <v>21</v>
      </c>
      <c r="D408" t="s">
        <v>41</v>
      </c>
      <c r="E408" t="s">
        <v>42</v>
      </c>
      <c r="F408" t="s">
        <v>24</v>
      </c>
      <c r="G408" t="s">
        <v>16</v>
      </c>
      <c r="H408">
        <v>4</v>
      </c>
      <c r="I408" s="5">
        <v>16141</v>
      </c>
      <c r="J408" s="5">
        <v>64564</v>
      </c>
      <c r="K408" s="5">
        <v>50361.21</v>
      </c>
      <c r="L408" s="5">
        <v>14202.79</v>
      </c>
      <c r="M408" s="4">
        <f t="shared" si="6"/>
        <v>0.21998001982528964</v>
      </c>
    </row>
    <row r="409" spans="1:13" x14ac:dyDescent="0.35">
      <c r="A409">
        <v>2407</v>
      </c>
      <c r="B409" s="2">
        <v>45413</v>
      </c>
      <c r="C409" t="s">
        <v>17</v>
      </c>
      <c r="D409" t="s">
        <v>27</v>
      </c>
      <c r="E409" t="s">
        <v>28</v>
      </c>
      <c r="F409" t="s">
        <v>29</v>
      </c>
      <c r="G409" t="s">
        <v>30</v>
      </c>
      <c r="H409">
        <v>3</v>
      </c>
      <c r="I409" s="5">
        <v>44103</v>
      </c>
      <c r="J409" s="5">
        <v>132309</v>
      </c>
      <c r="K409" s="5">
        <v>90483.87</v>
      </c>
      <c r="L409" s="5">
        <v>41825.129999999997</v>
      </c>
      <c r="M409" s="4">
        <f t="shared" si="6"/>
        <v>0.31611704419200504</v>
      </c>
    </row>
    <row r="410" spans="1:13" x14ac:dyDescent="0.35">
      <c r="A410">
        <v>2408</v>
      </c>
      <c r="B410" s="2">
        <v>45590</v>
      </c>
      <c r="C410" t="s">
        <v>34</v>
      </c>
      <c r="D410" t="s">
        <v>13</v>
      </c>
      <c r="E410" t="s">
        <v>39</v>
      </c>
      <c r="F410" t="s">
        <v>24</v>
      </c>
      <c r="G410" t="s">
        <v>25</v>
      </c>
      <c r="H410">
        <v>1</v>
      </c>
      <c r="I410" s="5">
        <v>53730</v>
      </c>
      <c r="J410" s="5">
        <v>53730</v>
      </c>
      <c r="K410" s="5">
        <v>36984</v>
      </c>
      <c r="L410" s="5">
        <v>16746</v>
      </c>
      <c r="M410" s="4">
        <f t="shared" si="6"/>
        <v>0.31166945840312676</v>
      </c>
    </row>
    <row r="411" spans="1:13" x14ac:dyDescent="0.35">
      <c r="A411">
        <v>2409</v>
      </c>
      <c r="B411" s="2">
        <v>45319</v>
      </c>
      <c r="C411" t="s">
        <v>21</v>
      </c>
      <c r="D411" t="s">
        <v>27</v>
      </c>
      <c r="E411" t="s">
        <v>28</v>
      </c>
      <c r="F411" t="s">
        <v>29</v>
      </c>
      <c r="G411" t="s">
        <v>25</v>
      </c>
      <c r="H411">
        <v>2</v>
      </c>
      <c r="I411" s="5">
        <v>59903</v>
      </c>
      <c r="J411" s="5">
        <v>119806</v>
      </c>
      <c r="K411" s="5">
        <v>91835.18</v>
      </c>
      <c r="L411" s="5">
        <v>27970.82</v>
      </c>
      <c r="M411" s="4">
        <f t="shared" si="6"/>
        <v>0.23346760596297347</v>
      </c>
    </row>
    <row r="412" spans="1:13" x14ac:dyDescent="0.35">
      <c r="A412">
        <v>2410</v>
      </c>
      <c r="B412" s="2">
        <v>45609</v>
      </c>
      <c r="C412" t="s">
        <v>21</v>
      </c>
      <c r="D412" t="s">
        <v>18</v>
      </c>
      <c r="E412" t="s">
        <v>43</v>
      </c>
      <c r="F412" t="s">
        <v>24</v>
      </c>
      <c r="G412" t="s">
        <v>25</v>
      </c>
      <c r="H412">
        <v>2</v>
      </c>
      <c r="I412" s="5">
        <v>40680</v>
      </c>
      <c r="J412" s="5">
        <v>81360</v>
      </c>
      <c r="K412" s="5">
        <v>56511.02</v>
      </c>
      <c r="L412" s="5">
        <v>24848.98</v>
      </c>
      <c r="M412" s="4">
        <f t="shared" si="6"/>
        <v>0.30542010816125859</v>
      </c>
    </row>
    <row r="413" spans="1:13" x14ac:dyDescent="0.35">
      <c r="A413">
        <v>2411</v>
      </c>
      <c r="B413" s="2">
        <v>45453</v>
      </c>
      <c r="C413" t="s">
        <v>31</v>
      </c>
      <c r="D413" t="s">
        <v>32</v>
      </c>
      <c r="E413" t="s">
        <v>33</v>
      </c>
      <c r="F413" t="s">
        <v>24</v>
      </c>
      <c r="G413" t="s">
        <v>30</v>
      </c>
      <c r="H413">
        <v>1</v>
      </c>
      <c r="I413" s="5">
        <v>67695</v>
      </c>
      <c r="J413" s="5">
        <v>67695</v>
      </c>
      <c r="K413" s="5">
        <v>48113.23</v>
      </c>
      <c r="L413" s="5">
        <v>19581.77</v>
      </c>
      <c r="M413" s="4">
        <f t="shared" si="6"/>
        <v>0.28926464288352166</v>
      </c>
    </row>
    <row r="414" spans="1:13" x14ac:dyDescent="0.35">
      <c r="A414">
        <v>2412</v>
      </c>
      <c r="B414" s="2">
        <v>45326</v>
      </c>
      <c r="C414" t="s">
        <v>17</v>
      </c>
      <c r="D414" t="s">
        <v>27</v>
      </c>
      <c r="E414" t="s">
        <v>28</v>
      </c>
      <c r="F414" t="s">
        <v>29</v>
      </c>
      <c r="G414" t="s">
        <v>16</v>
      </c>
      <c r="H414">
        <v>2</v>
      </c>
      <c r="I414" s="5">
        <v>59091</v>
      </c>
      <c r="J414" s="5">
        <v>118182</v>
      </c>
      <c r="K414" s="5">
        <v>92770.74</v>
      </c>
      <c r="L414" s="5">
        <v>25411.26</v>
      </c>
      <c r="M414" s="4">
        <f t="shared" si="6"/>
        <v>0.21501802304919529</v>
      </c>
    </row>
    <row r="415" spans="1:13" x14ac:dyDescent="0.35">
      <c r="A415">
        <v>2413</v>
      </c>
      <c r="B415" s="2">
        <v>45450</v>
      </c>
      <c r="C415" t="s">
        <v>12</v>
      </c>
      <c r="D415" t="s">
        <v>27</v>
      </c>
      <c r="E415" t="s">
        <v>28</v>
      </c>
      <c r="F415" t="s">
        <v>29</v>
      </c>
      <c r="G415" t="s">
        <v>16</v>
      </c>
      <c r="H415">
        <v>4</v>
      </c>
      <c r="I415" s="5">
        <v>71489</v>
      </c>
      <c r="J415" s="5">
        <v>285956</v>
      </c>
      <c r="K415" s="5">
        <v>187154</v>
      </c>
      <c r="L415" s="5">
        <v>98802</v>
      </c>
      <c r="M415" s="4">
        <f t="shared" si="6"/>
        <v>0.34551469456839512</v>
      </c>
    </row>
    <row r="416" spans="1:13" x14ac:dyDescent="0.35">
      <c r="A416">
        <v>2414</v>
      </c>
      <c r="B416" s="2">
        <v>45379</v>
      </c>
      <c r="C416" t="s">
        <v>26</v>
      </c>
      <c r="D416" t="s">
        <v>32</v>
      </c>
      <c r="E416" t="s">
        <v>40</v>
      </c>
      <c r="F416" t="s">
        <v>15</v>
      </c>
      <c r="G416" t="s">
        <v>30</v>
      </c>
      <c r="H416">
        <v>3</v>
      </c>
      <c r="I416" s="5">
        <v>57677</v>
      </c>
      <c r="J416" s="5">
        <v>173031</v>
      </c>
      <c r="K416" s="5">
        <v>118926.03</v>
      </c>
      <c r="L416" s="5">
        <v>54104.97</v>
      </c>
      <c r="M416" s="4">
        <f t="shared" si="6"/>
        <v>0.31268946027012501</v>
      </c>
    </row>
    <row r="417" spans="1:13" x14ac:dyDescent="0.35">
      <c r="A417">
        <v>2415</v>
      </c>
      <c r="B417" s="2">
        <v>45477</v>
      </c>
      <c r="C417" t="s">
        <v>21</v>
      </c>
      <c r="D417" t="s">
        <v>13</v>
      </c>
      <c r="E417" t="s">
        <v>39</v>
      </c>
      <c r="F417" t="s">
        <v>24</v>
      </c>
      <c r="G417" t="s">
        <v>20</v>
      </c>
      <c r="H417">
        <v>1</v>
      </c>
      <c r="I417" s="5">
        <v>51911</v>
      </c>
      <c r="J417" s="5">
        <v>51911</v>
      </c>
      <c r="K417" s="5">
        <v>39283.65</v>
      </c>
      <c r="L417" s="5">
        <v>12627.35</v>
      </c>
      <c r="M417" s="4">
        <f t="shared" si="6"/>
        <v>0.2432499855521951</v>
      </c>
    </row>
    <row r="418" spans="1:13" x14ac:dyDescent="0.35">
      <c r="A418">
        <v>2416</v>
      </c>
      <c r="B418" s="2">
        <v>45625</v>
      </c>
      <c r="C418" t="s">
        <v>17</v>
      </c>
      <c r="D418" t="s">
        <v>22</v>
      </c>
      <c r="E418" t="s">
        <v>23</v>
      </c>
      <c r="F418" t="s">
        <v>24</v>
      </c>
      <c r="G418" t="s">
        <v>16</v>
      </c>
      <c r="H418">
        <v>1</v>
      </c>
      <c r="I418" s="5">
        <v>24159</v>
      </c>
      <c r="J418" s="5">
        <v>24159</v>
      </c>
      <c r="K418" s="5">
        <v>17743.71</v>
      </c>
      <c r="L418" s="5">
        <v>6415.29</v>
      </c>
      <c r="M418" s="4">
        <f t="shared" si="6"/>
        <v>0.26554451757109154</v>
      </c>
    </row>
    <row r="419" spans="1:13" x14ac:dyDescent="0.35">
      <c r="A419">
        <v>2417</v>
      </c>
      <c r="B419" s="2">
        <v>45490</v>
      </c>
      <c r="C419" t="s">
        <v>31</v>
      </c>
      <c r="D419" t="s">
        <v>13</v>
      </c>
      <c r="E419" t="s">
        <v>14</v>
      </c>
      <c r="F419" t="s">
        <v>15</v>
      </c>
      <c r="G419" t="s">
        <v>30</v>
      </c>
      <c r="H419">
        <v>2</v>
      </c>
      <c r="I419" s="5">
        <v>69212</v>
      </c>
      <c r="J419" s="5">
        <v>138424</v>
      </c>
      <c r="K419" s="5">
        <v>97826.65</v>
      </c>
      <c r="L419" s="5">
        <v>40597.35</v>
      </c>
      <c r="M419" s="4">
        <f t="shared" si="6"/>
        <v>0.29328259550366986</v>
      </c>
    </row>
    <row r="420" spans="1:13" x14ac:dyDescent="0.35">
      <c r="A420">
        <v>2418</v>
      </c>
      <c r="B420" s="2">
        <v>45434</v>
      </c>
      <c r="C420" t="s">
        <v>21</v>
      </c>
      <c r="D420" t="s">
        <v>32</v>
      </c>
      <c r="E420" t="s">
        <v>40</v>
      </c>
      <c r="F420" t="s">
        <v>15</v>
      </c>
      <c r="G420" t="s">
        <v>25</v>
      </c>
      <c r="H420">
        <v>1</v>
      </c>
      <c r="I420" s="5">
        <v>52750</v>
      </c>
      <c r="J420" s="5">
        <v>52750</v>
      </c>
      <c r="K420" s="5">
        <v>42778.89</v>
      </c>
      <c r="L420" s="5">
        <v>9971.11</v>
      </c>
      <c r="M420" s="4">
        <f t="shared" si="6"/>
        <v>0.18902578199052134</v>
      </c>
    </row>
    <row r="421" spans="1:13" x14ac:dyDescent="0.35">
      <c r="A421">
        <v>2419</v>
      </c>
      <c r="B421" s="2">
        <v>45339</v>
      </c>
      <c r="C421" t="s">
        <v>34</v>
      </c>
      <c r="D421" t="s">
        <v>32</v>
      </c>
      <c r="E421" t="s">
        <v>40</v>
      </c>
      <c r="F421" t="s">
        <v>15</v>
      </c>
      <c r="G421" t="s">
        <v>30</v>
      </c>
      <c r="H421">
        <v>2</v>
      </c>
      <c r="I421" s="5">
        <v>43345</v>
      </c>
      <c r="J421" s="5">
        <v>86690</v>
      </c>
      <c r="K421" s="5">
        <v>65795.39</v>
      </c>
      <c r="L421" s="5">
        <v>20894.61</v>
      </c>
      <c r="M421" s="4">
        <f t="shared" si="6"/>
        <v>0.24102676202560849</v>
      </c>
    </row>
    <row r="422" spans="1:13" x14ac:dyDescent="0.35">
      <c r="A422">
        <v>2420</v>
      </c>
      <c r="B422" s="2">
        <v>45531</v>
      </c>
      <c r="C422" t="s">
        <v>31</v>
      </c>
      <c r="D422" t="s">
        <v>32</v>
      </c>
      <c r="E422" t="s">
        <v>33</v>
      </c>
      <c r="F422" t="s">
        <v>24</v>
      </c>
      <c r="G422" t="s">
        <v>16</v>
      </c>
      <c r="H422">
        <v>2</v>
      </c>
      <c r="I422" s="5">
        <v>28869</v>
      </c>
      <c r="J422" s="5">
        <v>57738</v>
      </c>
      <c r="K422" s="5">
        <v>41778.26</v>
      </c>
      <c r="L422" s="5">
        <v>15959.74</v>
      </c>
      <c r="M422" s="4">
        <f t="shared" si="6"/>
        <v>0.27641657140877757</v>
      </c>
    </row>
    <row r="423" spans="1:13" x14ac:dyDescent="0.35">
      <c r="A423">
        <v>2421</v>
      </c>
      <c r="B423" s="2">
        <v>45484</v>
      </c>
      <c r="C423" t="s">
        <v>34</v>
      </c>
      <c r="D423" t="s">
        <v>32</v>
      </c>
      <c r="E423" t="s">
        <v>40</v>
      </c>
      <c r="F423" t="s">
        <v>15</v>
      </c>
      <c r="G423" t="s">
        <v>16</v>
      </c>
      <c r="H423">
        <v>5</v>
      </c>
      <c r="I423" s="5">
        <v>35270</v>
      </c>
      <c r="J423" s="5">
        <v>176350</v>
      </c>
      <c r="K423" s="5">
        <v>125111.64</v>
      </c>
      <c r="L423" s="5">
        <v>51238.36</v>
      </c>
      <c r="M423" s="4">
        <f t="shared" si="6"/>
        <v>0.29054924865324638</v>
      </c>
    </row>
    <row r="424" spans="1:13" x14ac:dyDescent="0.35">
      <c r="A424">
        <v>2422</v>
      </c>
      <c r="B424" s="2">
        <v>45408</v>
      </c>
      <c r="C424" t="s">
        <v>31</v>
      </c>
      <c r="D424" t="s">
        <v>22</v>
      </c>
      <c r="E424" t="s">
        <v>37</v>
      </c>
      <c r="F424" t="s">
        <v>24</v>
      </c>
      <c r="G424" t="s">
        <v>30</v>
      </c>
      <c r="H424">
        <v>4</v>
      </c>
      <c r="I424" s="5">
        <v>25163</v>
      </c>
      <c r="J424" s="5">
        <v>100652</v>
      </c>
      <c r="K424" s="5">
        <v>84388.39</v>
      </c>
      <c r="L424" s="5">
        <v>16263.61</v>
      </c>
      <c r="M424" s="4">
        <f t="shared" si="6"/>
        <v>0.16158258156817551</v>
      </c>
    </row>
    <row r="425" spans="1:13" x14ac:dyDescent="0.35">
      <c r="A425">
        <v>2423</v>
      </c>
      <c r="B425" s="2">
        <v>45592</v>
      </c>
      <c r="C425" t="s">
        <v>31</v>
      </c>
      <c r="D425" t="s">
        <v>13</v>
      </c>
      <c r="E425" t="s">
        <v>39</v>
      </c>
      <c r="F425" t="s">
        <v>24</v>
      </c>
      <c r="G425" t="s">
        <v>16</v>
      </c>
      <c r="H425">
        <v>3</v>
      </c>
      <c r="I425" s="5">
        <v>78079</v>
      </c>
      <c r="J425" s="5">
        <v>234237</v>
      </c>
      <c r="K425" s="5">
        <v>163790.25</v>
      </c>
      <c r="L425" s="5">
        <v>70446.75</v>
      </c>
      <c r="M425" s="4">
        <f t="shared" si="6"/>
        <v>0.30074988153024501</v>
      </c>
    </row>
    <row r="426" spans="1:13" x14ac:dyDescent="0.35">
      <c r="A426">
        <v>2424</v>
      </c>
      <c r="B426" s="2">
        <v>45356</v>
      </c>
      <c r="C426" t="s">
        <v>31</v>
      </c>
      <c r="D426" t="s">
        <v>27</v>
      </c>
      <c r="E426" t="s">
        <v>28</v>
      </c>
      <c r="F426" t="s">
        <v>29</v>
      </c>
      <c r="G426" t="s">
        <v>30</v>
      </c>
      <c r="H426">
        <v>1</v>
      </c>
      <c r="I426" s="5">
        <v>75243</v>
      </c>
      <c r="J426" s="5">
        <v>75243</v>
      </c>
      <c r="K426" s="5">
        <v>50284.44</v>
      </c>
      <c r="L426" s="5">
        <v>24958.560000000001</v>
      </c>
      <c r="M426" s="4">
        <f t="shared" si="6"/>
        <v>0.33170607232566485</v>
      </c>
    </row>
    <row r="427" spans="1:13" x14ac:dyDescent="0.35">
      <c r="A427">
        <v>2425</v>
      </c>
      <c r="B427" s="2">
        <v>45306</v>
      </c>
      <c r="C427" t="s">
        <v>34</v>
      </c>
      <c r="D427" t="s">
        <v>13</v>
      </c>
      <c r="E427" t="s">
        <v>39</v>
      </c>
      <c r="F427" t="s">
        <v>24</v>
      </c>
      <c r="G427" t="s">
        <v>16</v>
      </c>
      <c r="H427">
        <v>5</v>
      </c>
      <c r="I427" s="5">
        <v>27014</v>
      </c>
      <c r="J427" s="5">
        <v>135070</v>
      </c>
      <c r="K427" s="5">
        <v>96191.15</v>
      </c>
      <c r="L427" s="5">
        <v>38878.85</v>
      </c>
      <c r="M427" s="4">
        <f t="shared" si="6"/>
        <v>0.28784222995483821</v>
      </c>
    </row>
    <row r="428" spans="1:13" x14ac:dyDescent="0.35">
      <c r="A428">
        <v>2426</v>
      </c>
      <c r="B428" s="2">
        <v>45647</v>
      </c>
      <c r="C428" t="s">
        <v>34</v>
      </c>
      <c r="D428" t="s">
        <v>22</v>
      </c>
      <c r="E428" t="s">
        <v>23</v>
      </c>
      <c r="F428" t="s">
        <v>24</v>
      </c>
      <c r="G428" t="s">
        <v>25</v>
      </c>
      <c r="H428">
        <v>2</v>
      </c>
      <c r="I428" s="5">
        <v>38351</v>
      </c>
      <c r="J428" s="5">
        <v>76702</v>
      </c>
      <c r="K428" s="5">
        <v>54781.14</v>
      </c>
      <c r="L428" s="5">
        <v>21920.86</v>
      </c>
      <c r="M428" s="4">
        <f t="shared" si="6"/>
        <v>0.28579254778232643</v>
      </c>
    </row>
    <row r="429" spans="1:13" x14ac:dyDescent="0.35">
      <c r="A429">
        <v>2427</v>
      </c>
      <c r="B429" s="2">
        <v>45477</v>
      </c>
      <c r="C429" t="s">
        <v>26</v>
      </c>
      <c r="D429" t="s">
        <v>18</v>
      </c>
      <c r="E429" t="s">
        <v>19</v>
      </c>
      <c r="F429" t="s">
        <v>15</v>
      </c>
      <c r="G429" t="s">
        <v>20</v>
      </c>
      <c r="H429">
        <v>5</v>
      </c>
      <c r="I429" s="5">
        <v>46922</v>
      </c>
      <c r="J429" s="5">
        <v>234610</v>
      </c>
      <c r="K429" s="5">
        <v>161544.20000000001</v>
      </c>
      <c r="L429" s="5">
        <v>73065.8</v>
      </c>
      <c r="M429" s="4">
        <f t="shared" si="6"/>
        <v>0.31143514769191427</v>
      </c>
    </row>
    <row r="430" spans="1:13" x14ac:dyDescent="0.35">
      <c r="A430">
        <v>2428</v>
      </c>
      <c r="B430" s="2">
        <v>45439</v>
      </c>
      <c r="C430" t="s">
        <v>26</v>
      </c>
      <c r="D430" t="s">
        <v>13</v>
      </c>
      <c r="E430" t="s">
        <v>39</v>
      </c>
      <c r="F430" t="s">
        <v>24</v>
      </c>
      <c r="G430" t="s">
        <v>30</v>
      </c>
      <c r="H430">
        <v>2</v>
      </c>
      <c r="I430" s="5">
        <v>60294</v>
      </c>
      <c r="J430" s="5">
        <v>120588</v>
      </c>
      <c r="K430" s="5">
        <v>85192.14</v>
      </c>
      <c r="L430" s="5">
        <v>35395.86</v>
      </c>
      <c r="M430" s="4">
        <f t="shared" si="6"/>
        <v>0.29352721663847148</v>
      </c>
    </row>
    <row r="431" spans="1:13" x14ac:dyDescent="0.35">
      <c r="A431">
        <v>2429</v>
      </c>
      <c r="B431" s="2">
        <v>45613</v>
      </c>
      <c r="C431" t="s">
        <v>36</v>
      </c>
      <c r="D431" t="s">
        <v>22</v>
      </c>
      <c r="E431" t="s">
        <v>23</v>
      </c>
      <c r="F431" t="s">
        <v>24</v>
      </c>
      <c r="G431" t="s">
        <v>16</v>
      </c>
      <c r="H431">
        <v>2</v>
      </c>
      <c r="I431" s="5">
        <v>44244</v>
      </c>
      <c r="J431" s="5">
        <v>88488</v>
      </c>
      <c r="K431" s="5">
        <v>60638.94</v>
      </c>
      <c r="L431" s="5">
        <v>27849.06</v>
      </c>
      <c r="M431" s="4">
        <f t="shared" si="6"/>
        <v>0.31472131814483323</v>
      </c>
    </row>
    <row r="432" spans="1:13" x14ac:dyDescent="0.35">
      <c r="A432">
        <v>2430</v>
      </c>
      <c r="B432" s="2">
        <v>45645</v>
      </c>
      <c r="C432" t="s">
        <v>34</v>
      </c>
      <c r="D432" t="s">
        <v>13</v>
      </c>
      <c r="E432" t="s">
        <v>14</v>
      </c>
      <c r="F432" t="s">
        <v>15</v>
      </c>
      <c r="G432" t="s">
        <v>38</v>
      </c>
      <c r="H432">
        <v>3</v>
      </c>
      <c r="I432" s="5">
        <v>62076</v>
      </c>
      <c r="J432" s="5">
        <v>186228</v>
      </c>
      <c r="K432" s="5">
        <v>121989.16</v>
      </c>
      <c r="L432" s="5">
        <v>64238.84</v>
      </c>
      <c r="M432" s="4">
        <f t="shared" si="6"/>
        <v>0.34494726893914984</v>
      </c>
    </row>
    <row r="433" spans="1:13" x14ac:dyDescent="0.35">
      <c r="A433">
        <v>2431</v>
      </c>
      <c r="B433" s="2">
        <v>45472</v>
      </c>
      <c r="C433" t="s">
        <v>12</v>
      </c>
      <c r="D433" t="s">
        <v>22</v>
      </c>
      <c r="E433" t="s">
        <v>37</v>
      </c>
      <c r="F433" t="s">
        <v>24</v>
      </c>
      <c r="G433" t="s">
        <v>16</v>
      </c>
      <c r="H433">
        <v>1</v>
      </c>
      <c r="I433" s="5">
        <v>31810</v>
      </c>
      <c r="J433" s="5">
        <v>31810</v>
      </c>
      <c r="K433" s="5">
        <v>22530.87</v>
      </c>
      <c r="L433" s="5">
        <v>9279.1299999999992</v>
      </c>
      <c r="M433" s="4">
        <f t="shared" si="6"/>
        <v>0.29170480980823638</v>
      </c>
    </row>
    <row r="434" spans="1:13" x14ac:dyDescent="0.35">
      <c r="A434">
        <v>2432</v>
      </c>
      <c r="B434" s="2">
        <v>45404</v>
      </c>
      <c r="C434" t="s">
        <v>31</v>
      </c>
      <c r="D434" t="s">
        <v>13</v>
      </c>
      <c r="E434" t="s">
        <v>39</v>
      </c>
      <c r="F434" t="s">
        <v>24</v>
      </c>
      <c r="G434" t="s">
        <v>38</v>
      </c>
      <c r="H434">
        <v>1</v>
      </c>
      <c r="I434" s="5">
        <v>61039</v>
      </c>
      <c r="J434" s="5">
        <v>61039</v>
      </c>
      <c r="K434" s="5">
        <v>40163.64</v>
      </c>
      <c r="L434" s="5">
        <v>20875.36</v>
      </c>
      <c r="M434" s="4">
        <f t="shared" si="6"/>
        <v>0.34200036042530185</v>
      </c>
    </row>
    <row r="435" spans="1:13" x14ac:dyDescent="0.35">
      <c r="A435">
        <v>2433</v>
      </c>
      <c r="B435" s="2">
        <v>45447</v>
      </c>
      <c r="C435" t="s">
        <v>21</v>
      </c>
      <c r="D435" t="s">
        <v>32</v>
      </c>
      <c r="E435" t="s">
        <v>33</v>
      </c>
      <c r="F435" t="s">
        <v>24</v>
      </c>
      <c r="G435" t="s">
        <v>30</v>
      </c>
      <c r="H435">
        <v>2</v>
      </c>
      <c r="I435" s="5">
        <v>57904</v>
      </c>
      <c r="J435" s="5">
        <v>115808</v>
      </c>
      <c r="K435" s="5">
        <v>92375.95</v>
      </c>
      <c r="L435" s="5">
        <v>23432.05</v>
      </c>
      <c r="M435" s="4">
        <f t="shared" si="6"/>
        <v>0.20233533089251174</v>
      </c>
    </row>
    <row r="436" spans="1:13" x14ac:dyDescent="0.35">
      <c r="A436">
        <v>2434</v>
      </c>
      <c r="B436" s="2">
        <v>45618</v>
      </c>
      <c r="C436" t="s">
        <v>17</v>
      </c>
      <c r="D436" t="s">
        <v>41</v>
      </c>
      <c r="E436" t="s">
        <v>42</v>
      </c>
      <c r="F436" t="s">
        <v>24</v>
      </c>
      <c r="G436" t="s">
        <v>38</v>
      </c>
      <c r="H436">
        <v>2</v>
      </c>
      <c r="I436" s="5">
        <v>37839</v>
      </c>
      <c r="J436" s="5">
        <v>75678</v>
      </c>
      <c r="K436" s="5">
        <v>57820.49</v>
      </c>
      <c r="L436" s="5">
        <v>17857.509999999998</v>
      </c>
      <c r="M436" s="4">
        <f t="shared" si="6"/>
        <v>0.2359669917281112</v>
      </c>
    </row>
    <row r="437" spans="1:13" x14ac:dyDescent="0.35">
      <c r="A437">
        <v>2435</v>
      </c>
      <c r="B437" s="2">
        <v>45635</v>
      </c>
      <c r="C437" t="s">
        <v>17</v>
      </c>
      <c r="D437" t="s">
        <v>41</v>
      </c>
      <c r="E437" t="s">
        <v>42</v>
      </c>
      <c r="F437" t="s">
        <v>24</v>
      </c>
      <c r="G437" t="s">
        <v>16</v>
      </c>
      <c r="H437">
        <v>5</v>
      </c>
      <c r="I437" s="5">
        <v>53749</v>
      </c>
      <c r="J437" s="5">
        <v>268745</v>
      </c>
      <c r="K437" s="5">
        <v>224975.83</v>
      </c>
      <c r="L437" s="5">
        <v>43769.17</v>
      </c>
      <c r="M437" s="4">
        <f t="shared" si="6"/>
        <v>0.1628650579545666</v>
      </c>
    </row>
    <row r="438" spans="1:13" x14ac:dyDescent="0.35">
      <c r="A438">
        <v>2436</v>
      </c>
      <c r="B438" s="2">
        <v>45438</v>
      </c>
      <c r="C438" t="s">
        <v>36</v>
      </c>
      <c r="D438" t="s">
        <v>18</v>
      </c>
      <c r="E438" t="s">
        <v>19</v>
      </c>
      <c r="F438" t="s">
        <v>15</v>
      </c>
      <c r="G438" t="s">
        <v>38</v>
      </c>
      <c r="H438">
        <v>1</v>
      </c>
      <c r="I438" s="5">
        <v>14205</v>
      </c>
      <c r="J438" s="5">
        <v>14205</v>
      </c>
      <c r="K438" s="5">
        <v>12000.75</v>
      </c>
      <c r="L438" s="5">
        <v>2204.25</v>
      </c>
      <c r="M438" s="4">
        <f t="shared" si="6"/>
        <v>0.1551742344244984</v>
      </c>
    </row>
    <row r="439" spans="1:13" x14ac:dyDescent="0.35">
      <c r="A439">
        <v>2437</v>
      </c>
      <c r="B439" s="2">
        <v>45399</v>
      </c>
      <c r="C439" t="s">
        <v>26</v>
      </c>
      <c r="D439" t="s">
        <v>18</v>
      </c>
      <c r="E439" t="s">
        <v>19</v>
      </c>
      <c r="F439" t="s">
        <v>15</v>
      </c>
      <c r="G439" t="s">
        <v>35</v>
      </c>
      <c r="H439">
        <v>3</v>
      </c>
      <c r="I439" s="5">
        <v>19290</v>
      </c>
      <c r="J439" s="5">
        <v>57870</v>
      </c>
      <c r="K439" s="5">
        <v>42444.59</v>
      </c>
      <c r="L439" s="5">
        <v>15425.41</v>
      </c>
      <c r="M439" s="4">
        <f t="shared" si="6"/>
        <v>0.2665527907378607</v>
      </c>
    </row>
    <row r="440" spans="1:13" x14ac:dyDescent="0.35">
      <c r="A440">
        <v>2438</v>
      </c>
      <c r="B440" s="2">
        <v>45405</v>
      </c>
      <c r="C440" t="s">
        <v>34</v>
      </c>
      <c r="D440" t="s">
        <v>22</v>
      </c>
      <c r="E440" t="s">
        <v>23</v>
      </c>
      <c r="F440" t="s">
        <v>24</v>
      </c>
      <c r="G440" t="s">
        <v>20</v>
      </c>
      <c r="H440">
        <v>3</v>
      </c>
      <c r="I440" s="5">
        <v>77117</v>
      </c>
      <c r="J440" s="5">
        <v>231351</v>
      </c>
      <c r="K440" s="5">
        <v>154539.39000000001</v>
      </c>
      <c r="L440" s="5">
        <v>76811.61</v>
      </c>
      <c r="M440" s="4">
        <f t="shared" si="6"/>
        <v>0.3320133044594577</v>
      </c>
    </row>
    <row r="441" spans="1:13" x14ac:dyDescent="0.35">
      <c r="A441">
        <v>2439</v>
      </c>
      <c r="B441" s="2">
        <v>45646</v>
      </c>
      <c r="C441" t="s">
        <v>21</v>
      </c>
      <c r="D441" t="s">
        <v>22</v>
      </c>
      <c r="E441" t="s">
        <v>23</v>
      </c>
      <c r="F441" t="s">
        <v>24</v>
      </c>
      <c r="G441" t="s">
        <v>35</v>
      </c>
      <c r="H441">
        <v>5</v>
      </c>
      <c r="I441" s="5">
        <v>67346</v>
      </c>
      <c r="J441" s="5">
        <v>336730</v>
      </c>
      <c r="K441" s="5">
        <v>253130.6</v>
      </c>
      <c r="L441" s="5">
        <v>83599.399999999994</v>
      </c>
      <c r="M441" s="4">
        <f t="shared" si="6"/>
        <v>0.24826834555875626</v>
      </c>
    </row>
    <row r="442" spans="1:13" x14ac:dyDescent="0.35">
      <c r="A442">
        <v>2440</v>
      </c>
      <c r="B442" s="2">
        <v>45554</v>
      </c>
      <c r="C442" t="s">
        <v>21</v>
      </c>
      <c r="D442" t="s">
        <v>32</v>
      </c>
      <c r="E442" t="s">
        <v>40</v>
      </c>
      <c r="F442" t="s">
        <v>15</v>
      </c>
      <c r="G442" t="s">
        <v>38</v>
      </c>
      <c r="H442">
        <v>2</v>
      </c>
      <c r="I442" s="5">
        <v>72161</v>
      </c>
      <c r="J442" s="5">
        <v>144322</v>
      </c>
      <c r="K442" s="5">
        <v>115801.73</v>
      </c>
      <c r="L442" s="5">
        <v>28520.27</v>
      </c>
      <c r="M442" s="4">
        <f t="shared" si="6"/>
        <v>0.1976155402502737</v>
      </c>
    </row>
    <row r="443" spans="1:13" x14ac:dyDescent="0.35">
      <c r="A443">
        <v>2441</v>
      </c>
      <c r="B443" s="2">
        <v>45425</v>
      </c>
      <c r="C443" t="s">
        <v>34</v>
      </c>
      <c r="D443" t="s">
        <v>18</v>
      </c>
      <c r="E443" t="s">
        <v>43</v>
      </c>
      <c r="F443" t="s">
        <v>24</v>
      </c>
      <c r="G443" t="s">
        <v>20</v>
      </c>
      <c r="H443">
        <v>2</v>
      </c>
      <c r="I443" s="5">
        <v>79618</v>
      </c>
      <c r="J443" s="5">
        <v>159236</v>
      </c>
      <c r="K443" s="5">
        <v>108716.67</v>
      </c>
      <c r="L443" s="5">
        <v>50519.33</v>
      </c>
      <c r="M443" s="4">
        <f t="shared" si="6"/>
        <v>0.31726073249767639</v>
      </c>
    </row>
    <row r="444" spans="1:13" x14ac:dyDescent="0.35">
      <c r="A444">
        <v>2442</v>
      </c>
      <c r="B444" s="2">
        <v>45419</v>
      </c>
      <c r="C444" t="s">
        <v>31</v>
      </c>
      <c r="D444" t="s">
        <v>32</v>
      </c>
      <c r="E444" t="s">
        <v>40</v>
      </c>
      <c r="F444" t="s">
        <v>15</v>
      </c>
      <c r="G444" t="s">
        <v>35</v>
      </c>
      <c r="H444">
        <v>1</v>
      </c>
      <c r="I444" s="5">
        <v>30026</v>
      </c>
      <c r="J444" s="5">
        <v>30026</v>
      </c>
      <c r="K444" s="5">
        <v>21665.72</v>
      </c>
      <c r="L444" s="5">
        <v>8360.2800000000007</v>
      </c>
      <c r="M444" s="4">
        <f t="shared" si="6"/>
        <v>0.27843468993538933</v>
      </c>
    </row>
    <row r="445" spans="1:13" x14ac:dyDescent="0.35">
      <c r="A445">
        <v>2443</v>
      </c>
      <c r="B445" s="2">
        <v>45617</v>
      </c>
      <c r="C445" t="s">
        <v>26</v>
      </c>
      <c r="D445" t="s">
        <v>22</v>
      </c>
      <c r="E445" t="s">
        <v>23</v>
      </c>
      <c r="F445" t="s">
        <v>24</v>
      </c>
      <c r="G445" t="s">
        <v>30</v>
      </c>
      <c r="H445">
        <v>3</v>
      </c>
      <c r="I445" s="5">
        <v>25981</v>
      </c>
      <c r="J445" s="5">
        <v>77943</v>
      </c>
      <c r="K445" s="5">
        <v>52791.62</v>
      </c>
      <c r="L445" s="5">
        <v>25151.38</v>
      </c>
      <c r="M445" s="4">
        <f t="shared" si="6"/>
        <v>0.32268940122910333</v>
      </c>
    </row>
    <row r="446" spans="1:13" x14ac:dyDescent="0.35">
      <c r="A446">
        <v>2444</v>
      </c>
      <c r="B446" s="2">
        <v>45413</v>
      </c>
      <c r="C446" t="s">
        <v>34</v>
      </c>
      <c r="D446" t="s">
        <v>22</v>
      </c>
      <c r="E446" t="s">
        <v>37</v>
      </c>
      <c r="F446" t="s">
        <v>24</v>
      </c>
      <c r="G446" t="s">
        <v>16</v>
      </c>
      <c r="H446">
        <v>2</v>
      </c>
      <c r="I446" s="5">
        <v>8770</v>
      </c>
      <c r="J446" s="5">
        <v>17540</v>
      </c>
      <c r="K446" s="5">
        <v>13208.96</v>
      </c>
      <c r="L446" s="5">
        <v>4331.04</v>
      </c>
      <c r="M446" s="4">
        <f t="shared" si="6"/>
        <v>0.2469236031927024</v>
      </c>
    </row>
    <row r="447" spans="1:13" x14ac:dyDescent="0.35">
      <c r="A447">
        <v>2445</v>
      </c>
      <c r="B447" s="2">
        <v>45471</v>
      </c>
      <c r="C447" t="s">
        <v>12</v>
      </c>
      <c r="D447" t="s">
        <v>22</v>
      </c>
      <c r="E447" t="s">
        <v>37</v>
      </c>
      <c r="F447" t="s">
        <v>24</v>
      </c>
      <c r="G447" t="s">
        <v>38</v>
      </c>
      <c r="H447">
        <v>3</v>
      </c>
      <c r="I447" s="5">
        <v>25484</v>
      </c>
      <c r="J447" s="5">
        <v>76452</v>
      </c>
      <c r="K447" s="5">
        <v>63220.99</v>
      </c>
      <c r="L447" s="5">
        <v>13231.01</v>
      </c>
      <c r="M447" s="4">
        <f t="shared" si="6"/>
        <v>0.1730629676136661</v>
      </c>
    </row>
    <row r="448" spans="1:13" x14ac:dyDescent="0.35">
      <c r="A448">
        <v>2446</v>
      </c>
      <c r="B448" s="2">
        <v>45415</v>
      </c>
      <c r="C448" t="s">
        <v>31</v>
      </c>
      <c r="D448" t="s">
        <v>32</v>
      </c>
      <c r="E448" t="s">
        <v>33</v>
      </c>
      <c r="F448" t="s">
        <v>24</v>
      </c>
      <c r="G448" t="s">
        <v>20</v>
      </c>
      <c r="H448">
        <v>3</v>
      </c>
      <c r="I448" s="5">
        <v>23462</v>
      </c>
      <c r="J448" s="5">
        <v>70386</v>
      </c>
      <c r="K448" s="5">
        <v>53468.87</v>
      </c>
      <c r="L448" s="5">
        <v>16917.13</v>
      </c>
      <c r="M448" s="4">
        <f t="shared" si="6"/>
        <v>0.24034793851049926</v>
      </c>
    </row>
    <row r="449" spans="1:13" x14ac:dyDescent="0.35">
      <c r="A449">
        <v>2447</v>
      </c>
      <c r="B449" s="2">
        <v>45371</v>
      </c>
      <c r="C449" t="s">
        <v>34</v>
      </c>
      <c r="D449" t="s">
        <v>32</v>
      </c>
      <c r="E449" t="s">
        <v>33</v>
      </c>
      <c r="F449" t="s">
        <v>24</v>
      </c>
      <c r="G449" t="s">
        <v>38</v>
      </c>
      <c r="H449">
        <v>5</v>
      </c>
      <c r="I449" s="5">
        <v>68447</v>
      </c>
      <c r="J449" s="5">
        <v>342235</v>
      </c>
      <c r="K449" s="5">
        <v>279913.03999999998</v>
      </c>
      <c r="L449" s="5">
        <v>62321.96</v>
      </c>
      <c r="M449" s="4">
        <f t="shared" si="6"/>
        <v>0.18210282408286704</v>
      </c>
    </row>
    <row r="450" spans="1:13" x14ac:dyDescent="0.35">
      <c r="A450">
        <v>2448</v>
      </c>
      <c r="B450" s="2">
        <v>45350</v>
      </c>
      <c r="C450" t="s">
        <v>36</v>
      </c>
      <c r="D450" t="s">
        <v>22</v>
      </c>
      <c r="E450" t="s">
        <v>23</v>
      </c>
      <c r="F450" t="s">
        <v>24</v>
      </c>
      <c r="G450" t="s">
        <v>30</v>
      </c>
      <c r="H450">
        <v>3</v>
      </c>
      <c r="I450" s="5">
        <v>9621</v>
      </c>
      <c r="J450" s="5">
        <v>28863</v>
      </c>
      <c r="K450" s="5">
        <v>20841.86</v>
      </c>
      <c r="L450" s="5">
        <v>8021.14</v>
      </c>
      <c r="M450" s="4">
        <f t="shared" si="6"/>
        <v>0.27790389079444272</v>
      </c>
    </row>
    <row r="451" spans="1:13" x14ac:dyDescent="0.35">
      <c r="A451">
        <v>2449</v>
      </c>
      <c r="B451" s="2">
        <v>45435</v>
      </c>
      <c r="C451" t="s">
        <v>26</v>
      </c>
      <c r="D451" t="s">
        <v>32</v>
      </c>
      <c r="E451" t="s">
        <v>40</v>
      </c>
      <c r="F451" t="s">
        <v>15</v>
      </c>
      <c r="G451" t="s">
        <v>25</v>
      </c>
      <c r="H451">
        <v>3</v>
      </c>
      <c r="I451" s="5">
        <v>33836</v>
      </c>
      <c r="J451" s="5">
        <v>101508</v>
      </c>
      <c r="K451" s="5">
        <v>68225.460000000006</v>
      </c>
      <c r="L451" s="5">
        <v>33282.54</v>
      </c>
      <c r="M451" s="4">
        <f t="shared" ref="M451:M501" si="7">L451/J451</f>
        <v>0.32788095519564964</v>
      </c>
    </row>
    <row r="452" spans="1:13" x14ac:dyDescent="0.35">
      <c r="A452">
        <v>2450</v>
      </c>
      <c r="B452" s="2">
        <v>45374</v>
      </c>
      <c r="C452" t="s">
        <v>21</v>
      </c>
      <c r="D452" t="s">
        <v>13</v>
      </c>
      <c r="E452" t="s">
        <v>39</v>
      </c>
      <c r="F452" t="s">
        <v>24</v>
      </c>
      <c r="G452" t="s">
        <v>25</v>
      </c>
      <c r="H452">
        <v>3</v>
      </c>
      <c r="I452" s="5">
        <v>66336</v>
      </c>
      <c r="J452" s="5">
        <v>199008</v>
      </c>
      <c r="K452" s="5">
        <v>148008.6</v>
      </c>
      <c r="L452" s="5">
        <v>50999.4</v>
      </c>
      <c r="M452" s="4">
        <f t="shared" si="7"/>
        <v>0.25626808972503617</v>
      </c>
    </row>
    <row r="453" spans="1:13" x14ac:dyDescent="0.35">
      <c r="A453">
        <v>2451</v>
      </c>
      <c r="B453" s="2">
        <v>45577</v>
      </c>
      <c r="C453" t="s">
        <v>17</v>
      </c>
      <c r="D453" t="s">
        <v>13</v>
      </c>
      <c r="E453" t="s">
        <v>14</v>
      </c>
      <c r="F453" t="s">
        <v>15</v>
      </c>
      <c r="G453" t="s">
        <v>30</v>
      </c>
      <c r="H453">
        <v>1</v>
      </c>
      <c r="I453" s="5">
        <v>13974</v>
      </c>
      <c r="J453" s="5">
        <v>13974</v>
      </c>
      <c r="K453" s="5">
        <v>9113.32</v>
      </c>
      <c r="L453" s="5">
        <v>4860.68</v>
      </c>
      <c r="M453" s="4">
        <f t="shared" si="7"/>
        <v>0.34783741233719767</v>
      </c>
    </row>
    <row r="454" spans="1:13" x14ac:dyDescent="0.35">
      <c r="A454">
        <v>2452</v>
      </c>
      <c r="B454" s="2">
        <v>45461</v>
      </c>
      <c r="C454" t="s">
        <v>26</v>
      </c>
      <c r="D454" t="s">
        <v>22</v>
      </c>
      <c r="E454" t="s">
        <v>37</v>
      </c>
      <c r="F454" t="s">
        <v>24</v>
      </c>
      <c r="G454" t="s">
        <v>38</v>
      </c>
      <c r="H454">
        <v>5</v>
      </c>
      <c r="I454" s="5">
        <v>42659</v>
      </c>
      <c r="J454" s="5">
        <v>213295</v>
      </c>
      <c r="K454" s="5">
        <v>143283.16</v>
      </c>
      <c r="L454" s="5">
        <v>70011.839999999997</v>
      </c>
      <c r="M454" s="4">
        <f t="shared" si="7"/>
        <v>0.32823948053165802</v>
      </c>
    </row>
    <row r="455" spans="1:13" x14ac:dyDescent="0.35">
      <c r="A455">
        <v>2453</v>
      </c>
      <c r="B455" s="2">
        <v>45389</v>
      </c>
      <c r="C455" t="s">
        <v>21</v>
      </c>
      <c r="D455" t="s">
        <v>22</v>
      </c>
      <c r="E455" t="s">
        <v>37</v>
      </c>
      <c r="F455" t="s">
        <v>24</v>
      </c>
      <c r="G455" t="s">
        <v>16</v>
      </c>
      <c r="H455">
        <v>5</v>
      </c>
      <c r="I455" s="5">
        <v>50180</v>
      </c>
      <c r="J455" s="5">
        <v>250900</v>
      </c>
      <c r="K455" s="5">
        <v>163501.6</v>
      </c>
      <c r="L455" s="5">
        <v>87398.399999999994</v>
      </c>
      <c r="M455" s="4">
        <f t="shared" si="7"/>
        <v>0.34833957752092465</v>
      </c>
    </row>
    <row r="456" spans="1:13" x14ac:dyDescent="0.35">
      <c r="A456">
        <v>2454</v>
      </c>
      <c r="B456" s="2">
        <v>45613</v>
      </c>
      <c r="C456" t="s">
        <v>34</v>
      </c>
      <c r="D456" t="s">
        <v>18</v>
      </c>
      <c r="E456" t="s">
        <v>19</v>
      </c>
      <c r="F456" t="s">
        <v>15</v>
      </c>
      <c r="G456" t="s">
        <v>35</v>
      </c>
      <c r="H456">
        <v>5</v>
      </c>
      <c r="I456" s="5">
        <v>40953</v>
      </c>
      <c r="J456" s="5">
        <v>204765</v>
      </c>
      <c r="K456" s="5">
        <v>159842.54999999999</v>
      </c>
      <c r="L456" s="5">
        <v>44922.45</v>
      </c>
      <c r="M456" s="4">
        <f t="shared" si="7"/>
        <v>0.21938539301150098</v>
      </c>
    </row>
    <row r="457" spans="1:13" x14ac:dyDescent="0.35">
      <c r="A457">
        <v>2455</v>
      </c>
      <c r="B457" s="2">
        <v>45306</v>
      </c>
      <c r="C457" t="s">
        <v>12</v>
      </c>
      <c r="D457" t="s">
        <v>18</v>
      </c>
      <c r="E457" t="s">
        <v>19</v>
      </c>
      <c r="F457" t="s">
        <v>15</v>
      </c>
      <c r="G457" t="s">
        <v>38</v>
      </c>
      <c r="H457">
        <v>1</v>
      </c>
      <c r="I457" s="5">
        <v>59809</v>
      </c>
      <c r="J457" s="5">
        <v>59809</v>
      </c>
      <c r="K457" s="5">
        <v>48918.720000000001</v>
      </c>
      <c r="L457" s="5">
        <v>10890.28</v>
      </c>
      <c r="M457" s="4">
        <f t="shared" si="7"/>
        <v>0.18208430169372503</v>
      </c>
    </row>
    <row r="458" spans="1:13" x14ac:dyDescent="0.35">
      <c r="A458">
        <v>2456</v>
      </c>
      <c r="B458" s="2">
        <v>45618</v>
      </c>
      <c r="C458" t="s">
        <v>17</v>
      </c>
      <c r="D458" t="s">
        <v>13</v>
      </c>
      <c r="E458" t="s">
        <v>39</v>
      </c>
      <c r="F458" t="s">
        <v>24</v>
      </c>
      <c r="G458" t="s">
        <v>30</v>
      </c>
      <c r="H458">
        <v>5</v>
      </c>
      <c r="I458" s="5">
        <v>30080</v>
      </c>
      <c r="J458" s="5">
        <v>150400</v>
      </c>
      <c r="K458" s="5">
        <v>100833.49</v>
      </c>
      <c r="L458" s="5">
        <v>49566.51</v>
      </c>
      <c r="M458" s="4">
        <f t="shared" si="7"/>
        <v>0.32956456117021277</v>
      </c>
    </row>
    <row r="459" spans="1:13" x14ac:dyDescent="0.35">
      <c r="A459">
        <v>2457</v>
      </c>
      <c r="B459" s="2">
        <v>45459</v>
      </c>
      <c r="C459" t="s">
        <v>34</v>
      </c>
      <c r="D459" t="s">
        <v>13</v>
      </c>
      <c r="E459" t="s">
        <v>39</v>
      </c>
      <c r="F459" t="s">
        <v>24</v>
      </c>
      <c r="G459" t="s">
        <v>20</v>
      </c>
      <c r="H459">
        <v>4</v>
      </c>
      <c r="I459" s="5">
        <v>32188</v>
      </c>
      <c r="J459" s="5">
        <v>128752</v>
      </c>
      <c r="K459" s="5">
        <v>100357.16</v>
      </c>
      <c r="L459" s="5">
        <v>28394.84</v>
      </c>
      <c r="M459" s="4">
        <f t="shared" si="7"/>
        <v>0.22053902075307569</v>
      </c>
    </row>
    <row r="460" spans="1:13" x14ac:dyDescent="0.35">
      <c r="A460">
        <v>2458</v>
      </c>
      <c r="B460" s="2">
        <v>45480</v>
      </c>
      <c r="C460" t="s">
        <v>17</v>
      </c>
      <c r="D460" t="s">
        <v>13</v>
      </c>
      <c r="E460" t="s">
        <v>14</v>
      </c>
      <c r="F460" t="s">
        <v>15</v>
      </c>
      <c r="G460" t="s">
        <v>30</v>
      </c>
      <c r="H460">
        <v>2</v>
      </c>
      <c r="I460" s="5">
        <v>56401</v>
      </c>
      <c r="J460" s="5">
        <v>112802</v>
      </c>
      <c r="K460" s="5">
        <v>92222.87</v>
      </c>
      <c r="L460" s="5">
        <v>20579.13</v>
      </c>
      <c r="M460" s="4">
        <f t="shared" si="7"/>
        <v>0.18243586106629317</v>
      </c>
    </row>
    <row r="461" spans="1:13" x14ac:dyDescent="0.35">
      <c r="A461">
        <v>2459</v>
      </c>
      <c r="B461" s="2">
        <v>45313</v>
      </c>
      <c r="C461" t="s">
        <v>12</v>
      </c>
      <c r="D461" t="s">
        <v>13</v>
      </c>
      <c r="E461" t="s">
        <v>39</v>
      </c>
      <c r="F461" t="s">
        <v>24</v>
      </c>
      <c r="G461" t="s">
        <v>25</v>
      </c>
      <c r="H461">
        <v>1</v>
      </c>
      <c r="I461" s="5">
        <v>60851</v>
      </c>
      <c r="J461" s="5">
        <v>60851</v>
      </c>
      <c r="K461" s="5">
        <v>50569.56</v>
      </c>
      <c r="L461" s="5">
        <v>10281.44</v>
      </c>
      <c r="M461" s="4">
        <f t="shared" si="7"/>
        <v>0.16896090450444529</v>
      </c>
    </row>
    <row r="462" spans="1:13" x14ac:dyDescent="0.35">
      <c r="A462">
        <v>2460</v>
      </c>
      <c r="B462" s="2">
        <v>45547</v>
      </c>
      <c r="C462" t="s">
        <v>21</v>
      </c>
      <c r="D462" t="s">
        <v>32</v>
      </c>
      <c r="E462" t="s">
        <v>40</v>
      </c>
      <c r="F462" t="s">
        <v>15</v>
      </c>
      <c r="G462" t="s">
        <v>16</v>
      </c>
      <c r="H462">
        <v>2</v>
      </c>
      <c r="I462" s="5">
        <v>47265</v>
      </c>
      <c r="J462" s="5">
        <v>94530</v>
      </c>
      <c r="K462" s="5">
        <v>72837.73</v>
      </c>
      <c r="L462" s="5">
        <v>21692.27</v>
      </c>
      <c r="M462" s="4">
        <f t="shared" si="7"/>
        <v>0.22947498148735851</v>
      </c>
    </row>
    <row r="463" spans="1:13" x14ac:dyDescent="0.35">
      <c r="A463">
        <v>2461</v>
      </c>
      <c r="B463" s="2">
        <v>45408</v>
      </c>
      <c r="C463" t="s">
        <v>12</v>
      </c>
      <c r="D463" t="s">
        <v>18</v>
      </c>
      <c r="E463" t="s">
        <v>19</v>
      </c>
      <c r="F463" t="s">
        <v>15</v>
      </c>
      <c r="G463" t="s">
        <v>38</v>
      </c>
      <c r="H463">
        <v>2</v>
      </c>
      <c r="I463" s="5">
        <v>26127</v>
      </c>
      <c r="J463" s="5">
        <v>52254</v>
      </c>
      <c r="K463" s="5">
        <v>38596.769999999997</v>
      </c>
      <c r="L463" s="5">
        <v>13657.23</v>
      </c>
      <c r="M463" s="4">
        <f t="shared" si="7"/>
        <v>0.2613623837409576</v>
      </c>
    </row>
    <row r="464" spans="1:13" x14ac:dyDescent="0.35">
      <c r="A464">
        <v>2462</v>
      </c>
      <c r="B464" s="2">
        <v>45517</v>
      </c>
      <c r="C464" t="s">
        <v>26</v>
      </c>
      <c r="D464" t="s">
        <v>22</v>
      </c>
      <c r="E464" t="s">
        <v>23</v>
      </c>
      <c r="F464" t="s">
        <v>24</v>
      </c>
      <c r="G464" t="s">
        <v>25</v>
      </c>
      <c r="H464">
        <v>4</v>
      </c>
      <c r="I464" s="5">
        <v>33010</v>
      </c>
      <c r="J464" s="5">
        <v>132040</v>
      </c>
      <c r="K464" s="5">
        <v>91590.21</v>
      </c>
      <c r="L464" s="5">
        <v>40449.79</v>
      </c>
      <c r="M464" s="4">
        <f t="shared" si="7"/>
        <v>0.3063449712208422</v>
      </c>
    </row>
    <row r="465" spans="1:13" x14ac:dyDescent="0.35">
      <c r="A465">
        <v>2463</v>
      </c>
      <c r="B465" s="2">
        <v>45604</v>
      </c>
      <c r="C465" t="s">
        <v>26</v>
      </c>
      <c r="D465" t="s">
        <v>13</v>
      </c>
      <c r="E465" t="s">
        <v>14</v>
      </c>
      <c r="F465" t="s">
        <v>15</v>
      </c>
      <c r="G465" t="s">
        <v>25</v>
      </c>
      <c r="H465">
        <v>5</v>
      </c>
      <c r="I465" s="5">
        <v>63763</v>
      </c>
      <c r="J465" s="5">
        <v>318815</v>
      </c>
      <c r="K465" s="5">
        <v>216358.2</v>
      </c>
      <c r="L465" s="5">
        <v>102456.8</v>
      </c>
      <c r="M465" s="4">
        <f t="shared" si="7"/>
        <v>0.3213675642614055</v>
      </c>
    </row>
    <row r="466" spans="1:13" x14ac:dyDescent="0.35">
      <c r="A466">
        <v>2464</v>
      </c>
      <c r="B466" s="2">
        <v>45555</v>
      </c>
      <c r="C466" t="s">
        <v>34</v>
      </c>
      <c r="D466" t="s">
        <v>18</v>
      </c>
      <c r="E466" t="s">
        <v>19</v>
      </c>
      <c r="F466" t="s">
        <v>15</v>
      </c>
      <c r="G466" t="s">
        <v>25</v>
      </c>
      <c r="H466">
        <v>4</v>
      </c>
      <c r="I466" s="5">
        <v>52389</v>
      </c>
      <c r="J466" s="5">
        <v>209556</v>
      </c>
      <c r="K466" s="5">
        <v>138839.98000000001</v>
      </c>
      <c r="L466" s="5">
        <v>70716.02</v>
      </c>
      <c r="M466" s="4">
        <f t="shared" si="7"/>
        <v>0.33745643169367617</v>
      </c>
    </row>
    <row r="467" spans="1:13" x14ac:dyDescent="0.35">
      <c r="A467">
        <v>2465</v>
      </c>
      <c r="B467" s="2">
        <v>45376</v>
      </c>
      <c r="C467" t="s">
        <v>34</v>
      </c>
      <c r="D467" t="s">
        <v>18</v>
      </c>
      <c r="E467" t="s">
        <v>43</v>
      </c>
      <c r="F467" t="s">
        <v>24</v>
      </c>
      <c r="G467" t="s">
        <v>30</v>
      </c>
      <c r="H467">
        <v>4</v>
      </c>
      <c r="I467" s="5">
        <v>46763</v>
      </c>
      <c r="J467" s="5">
        <v>187052</v>
      </c>
      <c r="K467" s="5">
        <v>121740.68</v>
      </c>
      <c r="L467" s="5">
        <v>65311.32</v>
      </c>
      <c r="M467" s="4">
        <f t="shared" si="7"/>
        <v>0.3491613027393452</v>
      </c>
    </row>
    <row r="468" spans="1:13" x14ac:dyDescent="0.35">
      <c r="A468">
        <v>2466</v>
      </c>
      <c r="B468" s="2">
        <v>45582</v>
      </c>
      <c r="C468" t="s">
        <v>34</v>
      </c>
      <c r="D468" t="s">
        <v>27</v>
      </c>
      <c r="E468" t="s">
        <v>28</v>
      </c>
      <c r="F468" t="s">
        <v>29</v>
      </c>
      <c r="G468" t="s">
        <v>35</v>
      </c>
      <c r="H468">
        <v>2</v>
      </c>
      <c r="I468" s="5">
        <v>69451</v>
      </c>
      <c r="J468" s="5">
        <v>138902</v>
      </c>
      <c r="K468" s="5">
        <v>92648.8</v>
      </c>
      <c r="L468" s="5">
        <v>46253.2</v>
      </c>
      <c r="M468" s="4">
        <f t="shared" si="7"/>
        <v>0.33299160559243207</v>
      </c>
    </row>
    <row r="469" spans="1:13" x14ac:dyDescent="0.35">
      <c r="A469">
        <v>2467</v>
      </c>
      <c r="B469" s="2">
        <v>45511</v>
      </c>
      <c r="C469" t="s">
        <v>31</v>
      </c>
      <c r="D469" t="s">
        <v>13</v>
      </c>
      <c r="E469" t="s">
        <v>14</v>
      </c>
      <c r="F469" t="s">
        <v>15</v>
      </c>
      <c r="G469" t="s">
        <v>16</v>
      </c>
      <c r="H469">
        <v>5</v>
      </c>
      <c r="I469" s="5">
        <v>28232</v>
      </c>
      <c r="J469" s="5">
        <v>141160</v>
      </c>
      <c r="K469" s="5">
        <v>119262.39</v>
      </c>
      <c r="L469" s="5">
        <v>21897.61</v>
      </c>
      <c r="M469" s="4">
        <f t="shared" si="7"/>
        <v>0.15512616888637007</v>
      </c>
    </row>
    <row r="470" spans="1:13" x14ac:dyDescent="0.35">
      <c r="A470">
        <v>2468</v>
      </c>
      <c r="B470" s="2">
        <v>45322</v>
      </c>
      <c r="C470" t="s">
        <v>31</v>
      </c>
      <c r="D470" t="s">
        <v>27</v>
      </c>
      <c r="E470" t="s">
        <v>28</v>
      </c>
      <c r="F470" t="s">
        <v>29</v>
      </c>
      <c r="G470" t="s">
        <v>25</v>
      </c>
      <c r="H470">
        <v>3</v>
      </c>
      <c r="I470" s="5">
        <v>46933</v>
      </c>
      <c r="J470" s="5">
        <v>140799</v>
      </c>
      <c r="K470" s="5">
        <v>107430.29</v>
      </c>
      <c r="L470" s="5">
        <v>33368.71</v>
      </c>
      <c r="M470" s="4">
        <f t="shared" si="7"/>
        <v>0.23699536218297004</v>
      </c>
    </row>
    <row r="471" spans="1:13" x14ac:dyDescent="0.35">
      <c r="A471">
        <v>2469</v>
      </c>
      <c r="B471" s="2">
        <v>45628</v>
      </c>
      <c r="C471" t="s">
        <v>17</v>
      </c>
      <c r="D471" t="s">
        <v>22</v>
      </c>
      <c r="E471" t="s">
        <v>23</v>
      </c>
      <c r="F471" t="s">
        <v>24</v>
      </c>
      <c r="G471" t="s">
        <v>16</v>
      </c>
      <c r="H471">
        <v>2</v>
      </c>
      <c r="I471" s="5">
        <v>47231</v>
      </c>
      <c r="J471" s="5">
        <v>94462</v>
      </c>
      <c r="K471" s="5">
        <v>77747.19</v>
      </c>
      <c r="L471" s="5">
        <v>16714.810000000001</v>
      </c>
      <c r="M471" s="4">
        <f t="shared" si="7"/>
        <v>0.17694744976816076</v>
      </c>
    </row>
    <row r="472" spans="1:13" x14ac:dyDescent="0.35">
      <c r="A472">
        <v>2470</v>
      </c>
      <c r="B472" s="2">
        <v>45388</v>
      </c>
      <c r="C472" t="s">
        <v>34</v>
      </c>
      <c r="D472" t="s">
        <v>41</v>
      </c>
      <c r="E472" t="s">
        <v>42</v>
      </c>
      <c r="F472" t="s">
        <v>24</v>
      </c>
      <c r="G472" t="s">
        <v>25</v>
      </c>
      <c r="H472">
        <v>2</v>
      </c>
      <c r="I472" s="5">
        <v>66634</v>
      </c>
      <c r="J472" s="5">
        <v>133268</v>
      </c>
      <c r="K472" s="5">
        <v>105051.41</v>
      </c>
      <c r="L472" s="5">
        <v>28216.59</v>
      </c>
      <c r="M472" s="4">
        <f t="shared" si="7"/>
        <v>0.21172817180418405</v>
      </c>
    </row>
    <row r="473" spans="1:13" x14ac:dyDescent="0.35">
      <c r="A473">
        <v>2471</v>
      </c>
      <c r="B473" s="2">
        <v>45482</v>
      </c>
      <c r="C473" t="s">
        <v>34</v>
      </c>
      <c r="D473" t="s">
        <v>32</v>
      </c>
      <c r="E473" t="s">
        <v>33</v>
      </c>
      <c r="F473" t="s">
        <v>24</v>
      </c>
      <c r="G473" t="s">
        <v>20</v>
      </c>
      <c r="H473">
        <v>5</v>
      </c>
      <c r="I473" s="5">
        <v>62575</v>
      </c>
      <c r="J473" s="5">
        <v>312875</v>
      </c>
      <c r="K473" s="5">
        <v>225895.83</v>
      </c>
      <c r="L473" s="5">
        <v>86979.17</v>
      </c>
      <c r="M473" s="4">
        <f t="shared" si="7"/>
        <v>0.27799974430683178</v>
      </c>
    </row>
    <row r="474" spans="1:13" x14ac:dyDescent="0.35">
      <c r="A474">
        <v>2472</v>
      </c>
      <c r="B474" s="2">
        <v>45494</v>
      </c>
      <c r="C474" t="s">
        <v>31</v>
      </c>
      <c r="D474" t="s">
        <v>32</v>
      </c>
      <c r="E474" t="s">
        <v>40</v>
      </c>
      <c r="F474" t="s">
        <v>15</v>
      </c>
      <c r="G474" t="s">
        <v>16</v>
      </c>
      <c r="H474">
        <v>3</v>
      </c>
      <c r="I474" s="5">
        <v>22975</v>
      </c>
      <c r="J474" s="5">
        <v>68925</v>
      </c>
      <c r="K474" s="5">
        <v>47933.82</v>
      </c>
      <c r="L474" s="5">
        <v>20991.18</v>
      </c>
      <c r="M474" s="4">
        <f t="shared" si="7"/>
        <v>0.30455103373231773</v>
      </c>
    </row>
    <row r="475" spans="1:13" x14ac:dyDescent="0.35">
      <c r="A475">
        <v>2473</v>
      </c>
      <c r="B475" s="2">
        <v>45349</v>
      </c>
      <c r="C475" t="s">
        <v>31</v>
      </c>
      <c r="D475" t="s">
        <v>32</v>
      </c>
      <c r="E475" t="s">
        <v>40</v>
      </c>
      <c r="F475" t="s">
        <v>15</v>
      </c>
      <c r="G475" t="s">
        <v>38</v>
      </c>
      <c r="H475">
        <v>2</v>
      </c>
      <c r="I475" s="5">
        <v>41225</v>
      </c>
      <c r="J475" s="5">
        <v>82450</v>
      </c>
      <c r="K475" s="5">
        <v>64305.63</v>
      </c>
      <c r="L475" s="5">
        <v>18144.37</v>
      </c>
      <c r="M475" s="4">
        <f t="shared" si="7"/>
        <v>0.22006513038204972</v>
      </c>
    </row>
    <row r="476" spans="1:13" x14ac:dyDescent="0.35">
      <c r="A476">
        <v>2474</v>
      </c>
      <c r="B476" s="2">
        <v>45420</v>
      </c>
      <c r="C476" t="s">
        <v>31</v>
      </c>
      <c r="D476" t="s">
        <v>32</v>
      </c>
      <c r="E476" t="s">
        <v>40</v>
      </c>
      <c r="F476" t="s">
        <v>15</v>
      </c>
      <c r="G476" t="s">
        <v>38</v>
      </c>
      <c r="H476">
        <v>4</v>
      </c>
      <c r="I476" s="5">
        <v>37752</v>
      </c>
      <c r="J476" s="5">
        <v>151008</v>
      </c>
      <c r="K476" s="5">
        <v>114887.53</v>
      </c>
      <c r="L476" s="5">
        <v>36120.47</v>
      </c>
      <c r="M476" s="4">
        <f t="shared" si="7"/>
        <v>0.23919573797414706</v>
      </c>
    </row>
    <row r="477" spans="1:13" x14ac:dyDescent="0.35">
      <c r="A477">
        <v>2475</v>
      </c>
      <c r="B477" s="2">
        <v>45648</v>
      </c>
      <c r="C477" t="s">
        <v>31</v>
      </c>
      <c r="D477" t="s">
        <v>32</v>
      </c>
      <c r="E477" t="s">
        <v>40</v>
      </c>
      <c r="F477" t="s">
        <v>15</v>
      </c>
      <c r="G477" t="s">
        <v>20</v>
      </c>
      <c r="H477">
        <v>1</v>
      </c>
      <c r="I477" s="5">
        <v>75264</v>
      </c>
      <c r="J477" s="5">
        <v>75264</v>
      </c>
      <c r="K477" s="5">
        <v>62608.41</v>
      </c>
      <c r="L477" s="5">
        <v>12655.59</v>
      </c>
      <c r="M477" s="4">
        <f t="shared" si="7"/>
        <v>0.16814931441326531</v>
      </c>
    </row>
    <row r="478" spans="1:13" x14ac:dyDescent="0.35">
      <c r="A478">
        <v>2476</v>
      </c>
      <c r="B478" s="2">
        <v>45639</v>
      </c>
      <c r="C478" t="s">
        <v>26</v>
      </c>
      <c r="D478" t="s">
        <v>27</v>
      </c>
      <c r="E478" t="s">
        <v>28</v>
      </c>
      <c r="F478" t="s">
        <v>29</v>
      </c>
      <c r="G478" t="s">
        <v>16</v>
      </c>
      <c r="H478">
        <v>1</v>
      </c>
      <c r="I478" s="5">
        <v>65609</v>
      </c>
      <c r="J478" s="5">
        <v>65609</v>
      </c>
      <c r="K478" s="5">
        <v>44407.91</v>
      </c>
      <c r="L478" s="5">
        <v>21201.09</v>
      </c>
      <c r="M478" s="4">
        <f t="shared" si="7"/>
        <v>0.32314301391577377</v>
      </c>
    </row>
    <row r="479" spans="1:13" x14ac:dyDescent="0.35">
      <c r="A479">
        <v>2477</v>
      </c>
      <c r="B479" s="2">
        <v>45657</v>
      </c>
      <c r="C479" t="s">
        <v>31</v>
      </c>
      <c r="D479" t="s">
        <v>41</v>
      </c>
      <c r="E479" t="s">
        <v>42</v>
      </c>
      <c r="F479" t="s">
        <v>24</v>
      </c>
      <c r="G479" t="s">
        <v>20</v>
      </c>
      <c r="H479">
        <v>1</v>
      </c>
      <c r="I479" s="5">
        <v>75522</v>
      </c>
      <c r="J479" s="5">
        <v>75522</v>
      </c>
      <c r="K479" s="5">
        <v>50631.360000000001</v>
      </c>
      <c r="L479" s="5">
        <v>24890.639999999999</v>
      </c>
      <c r="M479" s="4">
        <f t="shared" si="7"/>
        <v>0.32958131405418289</v>
      </c>
    </row>
    <row r="480" spans="1:13" x14ac:dyDescent="0.35">
      <c r="A480">
        <v>2478</v>
      </c>
      <c r="B480" s="2">
        <v>45390</v>
      </c>
      <c r="C480" t="s">
        <v>31</v>
      </c>
      <c r="D480" t="s">
        <v>22</v>
      </c>
      <c r="E480" t="s">
        <v>23</v>
      </c>
      <c r="F480" t="s">
        <v>24</v>
      </c>
      <c r="G480" t="s">
        <v>30</v>
      </c>
      <c r="H480">
        <v>5</v>
      </c>
      <c r="I480" s="5">
        <v>70273</v>
      </c>
      <c r="J480" s="5">
        <v>351365</v>
      </c>
      <c r="K480" s="5">
        <v>282847.42</v>
      </c>
      <c r="L480" s="5">
        <v>68517.58</v>
      </c>
      <c r="M480" s="4">
        <f t="shared" si="7"/>
        <v>0.19500399869082008</v>
      </c>
    </row>
    <row r="481" spans="1:13" x14ac:dyDescent="0.35">
      <c r="A481">
        <v>2479</v>
      </c>
      <c r="B481" s="2">
        <v>45321</v>
      </c>
      <c r="C481" t="s">
        <v>17</v>
      </c>
      <c r="D481" t="s">
        <v>32</v>
      </c>
      <c r="E481" t="s">
        <v>33</v>
      </c>
      <c r="F481" t="s">
        <v>24</v>
      </c>
      <c r="G481" t="s">
        <v>20</v>
      </c>
      <c r="H481">
        <v>4</v>
      </c>
      <c r="I481" s="5">
        <v>39051</v>
      </c>
      <c r="J481" s="5">
        <v>156204</v>
      </c>
      <c r="K481" s="5">
        <v>103007.86</v>
      </c>
      <c r="L481" s="5">
        <v>53196.14</v>
      </c>
      <c r="M481" s="4">
        <f t="shared" si="7"/>
        <v>0.34055555555555556</v>
      </c>
    </row>
    <row r="482" spans="1:13" x14ac:dyDescent="0.35">
      <c r="A482">
        <v>2480</v>
      </c>
      <c r="B482" s="2">
        <v>45596</v>
      </c>
      <c r="C482" t="s">
        <v>26</v>
      </c>
      <c r="D482" t="s">
        <v>18</v>
      </c>
      <c r="E482" t="s">
        <v>43</v>
      </c>
      <c r="F482" t="s">
        <v>24</v>
      </c>
      <c r="G482" t="s">
        <v>38</v>
      </c>
      <c r="H482">
        <v>2</v>
      </c>
      <c r="I482" s="5">
        <v>68254</v>
      </c>
      <c r="J482" s="5">
        <v>136508</v>
      </c>
      <c r="K482" s="5">
        <v>96918.77</v>
      </c>
      <c r="L482" s="5">
        <v>39589.230000000003</v>
      </c>
      <c r="M482" s="4">
        <f t="shared" si="7"/>
        <v>0.29001399185395732</v>
      </c>
    </row>
    <row r="483" spans="1:13" x14ac:dyDescent="0.35">
      <c r="A483">
        <v>2481</v>
      </c>
      <c r="B483" s="2">
        <v>45610</v>
      </c>
      <c r="C483" t="s">
        <v>21</v>
      </c>
      <c r="D483" t="s">
        <v>32</v>
      </c>
      <c r="E483" t="s">
        <v>33</v>
      </c>
      <c r="F483" t="s">
        <v>24</v>
      </c>
      <c r="G483" t="s">
        <v>25</v>
      </c>
      <c r="H483">
        <v>2</v>
      </c>
      <c r="I483" s="5">
        <v>23035</v>
      </c>
      <c r="J483" s="5">
        <v>46070</v>
      </c>
      <c r="K483" s="5">
        <v>38399.39</v>
      </c>
      <c r="L483" s="5">
        <v>7670.61</v>
      </c>
      <c r="M483" s="4">
        <f t="shared" si="7"/>
        <v>0.16649902322552637</v>
      </c>
    </row>
    <row r="484" spans="1:13" x14ac:dyDescent="0.35">
      <c r="A484">
        <v>2482</v>
      </c>
      <c r="B484" s="2">
        <v>45466</v>
      </c>
      <c r="C484" t="s">
        <v>12</v>
      </c>
      <c r="D484" t="s">
        <v>13</v>
      </c>
      <c r="E484" t="s">
        <v>14</v>
      </c>
      <c r="F484" t="s">
        <v>15</v>
      </c>
      <c r="G484" t="s">
        <v>35</v>
      </c>
      <c r="H484">
        <v>1</v>
      </c>
      <c r="I484" s="5">
        <v>41504</v>
      </c>
      <c r="J484" s="5">
        <v>41504</v>
      </c>
      <c r="K484" s="5">
        <v>27996.29</v>
      </c>
      <c r="L484" s="5">
        <v>13507.71</v>
      </c>
      <c r="M484" s="4">
        <f t="shared" si="7"/>
        <v>0.32545561873554352</v>
      </c>
    </row>
    <row r="485" spans="1:13" x14ac:dyDescent="0.35">
      <c r="A485">
        <v>2483</v>
      </c>
      <c r="B485" s="2">
        <v>45560</v>
      </c>
      <c r="C485" t="s">
        <v>31</v>
      </c>
      <c r="D485" t="s">
        <v>13</v>
      </c>
      <c r="E485" t="s">
        <v>14</v>
      </c>
      <c r="F485" t="s">
        <v>15</v>
      </c>
      <c r="G485" t="s">
        <v>38</v>
      </c>
      <c r="H485">
        <v>3</v>
      </c>
      <c r="I485" s="5">
        <v>72092</v>
      </c>
      <c r="J485" s="5">
        <v>216276</v>
      </c>
      <c r="K485" s="5">
        <v>142461.16</v>
      </c>
      <c r="L485" s="5">
        <v>73814.84</v>
      </c>
      <c r="M485" s="4">
        <f t="shared" si="7"/>
        <v>0.34129926575301928</v>
      </c>
    </row>
    <row r="486" spans="1:13" x14ac:dyDescent="0.35">
      <c r="A486">
        <v>2484</v>
      </c>
      <c r="B486" s="2">
        <v>45474</v>
      </c>
      <c r="C486" t="s">
        <v>17</v>
      </c>
      <c r="D486" t="s">
        <v>27</v>
      </c>
      <c r="E486" t="s">
        <v>28</v>
      </c>
      <c r="F486" t="s">
        <v>29</v>
      </c>
      <c r="G486" t="s">
        <v>25</v>
      </c>
      <c r="H486">
        <v>5</v>
      </c>
      <c r="I486" s="5">
        <v>50908</v>
      </c>
      <c r="J486" s="5">
        <v>254540</v>
      </c>
      <c r="K486" s="5">
        <v>206331.19</v>
      </c>
      <c r="L486" s="5">
        <v>48208.81</v>
      </c>
      <c r="M486" s="4">
        <f t="shared" si="7"/>
        <v>0.18939581205311543</v>
      </c>
    </row>
    <row r="487" spans="1:13" x14ac:dyDescent="0.35">
      <c r="A487">
        <v>2485</v>
      </c>
      <c r="B487" s="2">
        <v>45416</v>
      </c>
      <c r="C487" t="s">
        <v>26</v>
      </c>
      <c r="D487" t="s">
        <v>18</v>
      </c>
      <c r="E487" t="s">
        <v>19</v>
      </c>
      <c r="F487" t="s">
        <v>15</v>
      </c>
      <c r="G487" t="s">
        <v>38</v>
      </c>
      <c r="H487">
        <v>3</v>
      </c>
      <c r="I487" s="5">
        <v>54445</v>
      </c>
      <c r="J487" s="5">
        <v>163335</v>
      </c>
      <c r="K487" s="5">
        <v>112477.31</v>
      </c>
      <c r="L487" s="5">
        <v>50857.69</v>
      </c>
      <c r="M487" s="4">
        <f t="shared" si="7"/>
        <v>0.31137043499556127</v>
      </c>
    </row>
    <row r="488" spans="1:13" x14ac:dyDescent="0.35">
      <c r="A488">
        <v>2486</v>
      </c>
      <c r="B488" s="2">
        <v>45517</v>
      </c>
      <c r="C488" t="s">
        <v>26</v>
      </c>
      <c r="D488" t="s">
        <v>22</v>
      </c>
      <c r="E488" t="s">
        <v>37</v>
      </c>
      <c r="F488" t="s">
        <v>24</v>
      </c>
      <c r="G488" t="s">
        <v>20</v>
      </c>
      <c r="H488">
        <v>1</v>
      </c>
      <c r="I488" s="5">
        <v>10746</v>
      </c>
      <c r="J488" s="5">
        <v>10746</v>
      </c>
      <c r="K488" s="5">
        <v>8033.81</v>
      </c>
      <c r="L488" s="5">
        <v>2712.19</v>
      </c>
      <c r="M488" s="4">
        <f t="shared" si="7"/>
        <v>0.25239065698864693</v>
      </c>
    </row>
    <row r="489" spans="1:13" x14ac:dyDescent="0.35">
      <c r="A489">
        <v>2487</v>
      </c>
      <c r="B489" s="2">
        <v>45386</v>
      </c>
      <c r="C489" t="s">
        <v>36</v>
      </c>
      <c r="D489" t="s">
        <v>18</v>
      </c>
      <c r="E489" t="s">
        <v>19</v>
      </c>
      <c r="F489" t="s">
        <v>15</v>
      </c>
      <c r="G489" t="s">
        <v>35</v>
      </c>
      <c r="H489">
        <v>2</v>
      </c>
      <c r="I489" s="5">
        <v>46015</v>
      </c>
      <c r="J489" s="5">
        <v>92030</v>
      </c>
      <c r="K489" s="5">
        <v>75901.64</v>
      </c>
      <c r="L489" s="5">
        <v>16128.36</v>
      </c>
      <c r="M489" s="4">
        <f t="shared" si="7"/>
        <v>0.17525111376724981</v>
      </c>
    </row>
    <row r="490" spans="1:13" x14ac:dyDescent="0.35">
      <c r="A490">
        <v>2488</v>
      </c>
      <c r="B490" s="2">
        <v>45593</v>
      </c>
      <c r="C490" t="s">
        <v>36</v>
      </c>
      <c r="D490" t="s">
        <v>22</v>
      </c>
      <c r="E490" t="s">
        <v>23</v>
      </c>
      <c r="F490" t="s">
        <v>24</v>
      </c>
      <c r="G490" t="s">
        <v>30</v>
      </c>
      <c r="H490">
        <v>3</v>
      </c>
      <c r="I490" s="5">
        <v>78573</v>
      </c>
      <c r="J490" s="5">
        <v>235719</v>
      </c>
      <c r="K490" s="5">
        <v>200232.36</v>
      </c>
      <c r="L490" s="5">
        <v>35486.639999999999</v>
      </c>
      <c r="M490" s="4">
        <f t="shared" si="7"/>
        <v>0.150546370890764</v>
      </c>
    </row>
    <row r="491" spans="1:13" x14ac:dyDescent="0.35">
      <c r="A491">
        <v>2489</v>
      </c>
      <c r="B491" s="2">
        <v>45304</v>
      </c>
      <c r="C491" t="s">
        <v>21</v>
      </c>
      <c r="D491" t="s">
        <v>13</v>
      </c>
      <c r="E491" t="s">
        <v>39</v>
      </c>
      <c r="F491" t="s">
        <v>24</v>
      </c>
      <c r="G491" t="s">
        <v>25</v>
      </c>
      <c r="H491">
        <v>3</v>
      </c>
      <c r="I491" s="5">
        <v>27783</v>
      </c>
      <c r="J491" s="5">
        <v>83349</v>
      </c>
      <c r="K491" s="5">
        <v>62297.88</v>
      </c>
      <c r="L491" s="5">
        <v>21051.119999999999</v>
      </c>
      <c r="M491" s="4">
        <f t="shared" si="7"/>
        <v>0.25256595759997119</v>
      </c>
    </row>
    <row r="492" spans="1:13" x14ac:dyDescent="0.35">
      <c r="A492">
        <v>2490</v>
      </c>
      <c r="B492" s="2">
        <v>45310</v>
      </c>
      <c r="C492" t="s">
        <v>36</v>
      </c>
      <c r="D492" t="s">
        <v>22</v>
      </c>
      <c r="E492" t="s">
        <v>37</v>
      </c>
      <c r="F492" t="s">
        <v>24</v>
      </c>
      <c r="G492" t="s">
        <v>25</v>
      </c>
      <c r="H492">
        <v>1</v>
      </c>
      <c r="I492" s="5">
        <v>31892</v>
      </c>
      <c r="J492" s="5">
        <v>31892</v>
      </c>
      <c r="K492" s="5">
        <v>24687.09</v>
      </c>
      <c r="L492" s="5">
        <v>7204.91</v>
      </c>
      <c r="M492" s="4">
        <f t="shared" si="7"/>
        <v>0.2259159036749028</v>
      </c>
    </row>
    <row r="493" spans="1:13" x14ac:dyDescent="0.35">
      <c r="A493">
        <v>2491</v>
      </c>
      <c r="B493" s="2">
        <v>45373</v>
      </c>
      <c r="C493" t="s">
        <v>21</v>
      </c>
      <c r="D493" t="s">
        <v>27</v>
      </c>
      <c r="E493" t="s">
        <v>28</v>
      </c>
      <c r="F493" t="s">
        <v>29</v>
      </c>
      <c r="G493" t="s">
        <v>16</v>
      </c>
      <c r="H493">
        <v>4</v>
      </c>
      <c r="I493" s="5">
        <v>59565</v>
      </c>
      <c r="J493" s="5">
        <v>238260</v>
      </c>
      <c r="K493" s="5">
        <v>165791.26999999999</v>
      </c>
      <c r="L493" s="5">
        <v>72468.73</v>
      </c>
      <c r="M493" s="4">
        <f t="shared" si="7"/>
        <v>0.30415818853353477</v>
      </c>
    </row>
    <row r="494" spans="1:13" x14ac:dyDescent="0.35">
      <c r="A494">
        <v>2492</v>
      </c>
      <c r="B494" s="2">
        <v>45476</v>
      </c>
      <c r="C494" t="s">
        <v>31</v>
      </c>
      <c r="D494" t="s">
        <v>27</v>
      </c>
      <c r="E494" t="s">
        <v>28</v>
      </c>
      <c r="F494" t="s">
        <v>29</v>
      </c>
      <c r="G494" t="s">
        <v>25</v>
      </c>
      <c r="H494">
        <v>3</v>
      </c>
      <c r="I494" s="5">
        <v>77240</v>
      </c>
      <c r="J494" s="5">
        <v>231720</v>
      </c>
      <c r="K494" s="5">
        <v>160642.87</v>
      </c>
      <c r="L494" s="5">
        <v>71077.13</v>
      </c>
      <c r="M494" s="4">
        <f t="shared" si="7"/>
        <v>0.30673713965130334</v>
      </c>
    </row>
    <row r="495" spans="1:13" x14ac:dyDescent="0.35">
      <c r="A495">
        <v>2493</v>
      </c>
      <c r="B495" s="2">
        <v>45314</v>
      </c>
      <c r="C495" t="s">
        <v>31</v>
      </c>
      <c r="D495" t="s">
        <v>32</v>
      </c>
      <c r="E495" t="s">
        <v>33</v>
      </c>
      <c r="F495" t="s">
        <v>24</v>
      </c>
      <c r="G495" t="s">
        <v>20</v>
      </c>
      <c r="H495">
        <v>2</v>
      </c>
      <c r="I495" s="5">
        <v>30246</v>
      </c>
      <c r="J495" s="5">
        <v>60492</v>
      </c>
      <c r="K495" s="5">
        <v>49230.57</v>
      </c>
      <c r="L495" s="5">
        <v>11261.43</v>
      </c>
      <c r="M495" s="4">
        <f t="shared" si="7"/>
        <v>0.18616395556437215</v>
      </c>
    </row>
    <row r="496" spans="1:13" x14ac:dyDescent="0.35">
      <c r="A496">
        <v>2494</v>
      </c>
      <c r="B496" s="2">
        <v>45531</v>
      </c>
      <c r="C496" t="s">
        <v>17</v>
      </c>
      <c r="D496" t="s">
        <v>22</v>
      </c>
      <c r="E496" t="s">
        <v>37</v>
      </c>
      <c r="F496" t="s">
        <v>24</v>
      </c>
      <c r="G496" t="s">
        <v>20</v>
      </c>
      <c r="H496">
        <v>4</v>
      </c>
      <c r="I496" s="5">
        <v>54357</v>
      </c>
      <c r="J496" s="5">
        <v>217428</v>
      </c>
      <c r="K496" s="5">
        <v>154998.32</v>
      </c>
      <c r="L496" s="5">
        <v>62429.68</v>
      </c>
      <c r="M496" s="4">
        <f t="shared" si="7"/>
        <v>0.2871280607833398</v>
      </c>
    </row>
    <row r="497" spans="1:13" x14ac:dyDescent="0.35">
      <c r="A497">
        <v>2495</v>
      </c>
      <c r="B497" s="2">
        <v>45462</v>
      </c>
      <c r="C497" t="s">
        <v>31</v>
      </c>
      <c r="D497" t="s">
        <v>13</v>
      </c>
      <c r="E497" t="s">
        <v>14</v>
      </c>
      <c r="F497" t="s">
        <v>15</v>
      </c>
      <c r="G497" t="s">
        <v>16</v>
      </c>
      <c r="H497">
        <v>2</v>
      </c>
      <c r="I497" s="5">
        <v>10688</v>
      </c>
      <c r="J497" s="5">
        <v>21376</v>
      </c>
      <c r="K497" s="5">
        <v>14957.81</v>
      </c>
      <c r="L497" s="5">
        <v>6418.19</v>
      </c>
      <c r="M497" s="4">
        <f t="shared" si="7"/>
        <v>0.30025215194610777</v>
      </c>
    </row>
    <row r="498" spans="1:13" x14ac:dyDescent="0.35">
      <c r="A498">
        <v>2496</v>
      </c>
      <c r="B498" s="2">
        <v>45366</v>
      </c>
      <c r="C498" t="s">
        <v>26</v>
      </c>
      <c r="D498" t="s">
        <v>27</v>
      </c>
      <c r="E498" t="s">
        <v>28</v>
      </c>
      <c r="F498" t="s">
        <v>29</v>
      </c>
      <c r="G498" t="s">
        <v>38</v>
      </c>
      <c r="H498">
        <v>2</v>
      </c>
      <c r="I498" s="5">
        <v>43738</v>
      </c>
      <c r="J498" s="5">
        <v>87476</v>
      </c>
      <c r="K498" s="5">
        <v>63585.1</v>
      </c>
      <c r="L498" s="5">
        <v>23890.9</v>
      </c>
      <c r="M498" s="4">
        <f t="shared" si="7"/>
        <v>0.2731137683478897</v>
      </c>
    </row>
    <row r="499" spans="1:13" x14ac:dyDescent="0.35">
      <c r="A499">
        <v>2497</v>
      </c>
      <c r="B499" s="2">
        <v>45474</v>
      </c>
      <c r="C499" t="s">
        <v>31</v>
      </c>
      <c r="D499" t="s">
        <v>18</v>
      </c>
      <c r="E499" t="s">
        <v>19</v>
      </c>
      <c r="F499" t="s">
        <v>15</v>
      </c>
      <c r="G499" t="s">
        <v>35</v>
      </c>
      <c r="H499">
        <v>5</v>
      </c>
      <c r="I499" s="5">
        <v>77225</v>
      </c>
      <c r="J499" s="5">
        <v>386125</v>
      </c>
      <c r="K499" s="5">
        <v>296112.46999999997</v>
      </c>
      <c r="L499" s="5">
        <v>90012.53</v>
      </c>
      <c r="M499" s="4">
        <f t="shared" si="7"/>
        <v>0.23311759145354483</v>
      </c>
    </row>
    <row r="500" spans="1:13" x14ac:dyDescent="0.35">
      <c r="A500">
        <v>2498</v>
      </c>
      <c r="B500" s="2">
        <v>45579</v>
      </c>
      <c r="C500" t="s">
        <v>34</v>
      </c>
      <c r="D500" t="s">
        <v>32</v>
      </c>
      <c r="E500" t="s">
        <v>33</v>
      </c>
      <c r="F500" t="s">
        <v>24</v>
      </c>
      <c r="G500" t="s">
        <v>25</v>
      </c>
      <c r="H500">
        <v>1</v>
      </c>
      <c r="I500" s="5">
        <v>34115</v>
      </c>
      <c r="J500" s="5">
        <v>34115</v>
      </c>
      <c r="K500" s="5">
        <v>27457.79</v>
      </c>
      <c r="L500" s="5">
        <v>6657.21</v>
      </c>
      <c r="M500" s="4">
        <f t="shared" si="7"/>
        <v>0.19514026088230985</v>
      </c>
    </row>
    <row r="501" spans="1:13" x14ac:dyDescent="0.35">
      <c r="A501">
        <v>2499</v>
      </c>
      <c r="B501" s="2">
        <v>45477</v>
      </c>
      <c r="C501" t="s">
        <v>34</v>
      </c>
      <c r="D501" t="s">
        <v>27</v>
      </c>
      <c r="E501" t="s">
        <v>28</v>
      </c>
      <c r="F501" t="s">
        <v>29</v>
      </c>
      <c r="G501" t="s">
        <v>25</v>
      </c>
      <c r="H501">
        <v>3</v>
      </c>
      <c r="I501" s="5">
        <v>39200</v>
      </c>
      <c r="J501" s="5">
        <v>117600</v>
      </c>
      <c r="K501" s="5">
        <v>96968.57</v>
      </c>
      <c r="L501" s="5">
        <v>20631.43</v>
      </c>
      <c r="M501" s="4">
        <f t="shared" si="7"/>
        <v>0.17543732993197278</v>
      </c>
    </row>
    <row r="1048576" spans="10:12" x14ac:dyDescent="0.35">
      <c r="J1048576" s="5">
        <f>SUM(J2:J1048575)</f>
        <v>61971147</v>
      </c>
      <c r="L1048576" s="5">
        <f>SUM(L2:L1048575)</f>
        <v>15722217.35999999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Pivot 2</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Ziya Patel</cp:lastModifiedBy>
  <dcterms:created xsi:type="dcterms:W3CDTF">2026-03-07T18:27:23Z</dcterms:created>
  <dcterms:modified xsi:type="dcterms:W3CDTF">2026-03-11T14:43:17Z</dcterms:modified>
</cp:coreProperties>
</file>